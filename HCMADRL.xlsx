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Flexible Reconfigurable Manufacturing System\HiFAMR-BMAPPO\HCMAGRL\checkpoints\"/>
    </mc:Choice>
  </mc:AlternateContent>
  <bookViews>
    <workbookView windowWidth="29868" windowHeight="13380" activeTab="2"/>
  </bookViews>
  <sheets>
    <sheet name="RL" sheetId="1" r:id="rId1"/>
    <sheet name="Ablation" sheetId="2" r:id="rId2"/>
    <sheet name="VS DAB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<sst xmlns="http://schemas.openxmlformats.org/spreadsheetml/2006/main" count="237" uniqueCount="149">
  <si>
    <t>IGD</t>
  </si>
  <si>
    <t>Spread</t>
  </si>
  <si>
    <t>HV</t>
  </si>
  <si>
    <t>Instance</t>
  </si>
  <si>
    <t>HCMADRL</t>
  </si>
  <si>
    <t>DDQN</t>
  </si>
  <si>
    <t>EDQN</t>
  </si>
  <si>
    <t>SAC</t>
  </si>
  <si>
    <t>TD3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</si>
  <si>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</si>
  <si>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</si>
  <si>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</si>
  <si>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</si>
  <si>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</si>
  <si>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</si>
  <si>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</si>
  <si>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</si>
  <si>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</si>
  <si>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</si>
  <si>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</si>
  <si>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</si>
  <si>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</si>
  <si>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</si>
  <si>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</si>
  <si>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</si>
  <si>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</si>
  <si>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</si>
  <si>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</si>
  <si>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</si>
  <si>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</si>
  <si>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</si>
  <si>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</si>
  <si>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</si>
  <si>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</si>
  <si>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</si>
  <si>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</si>
  <si>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 xml:space="preserve">IGD </t>
  </si>
  <si>
    <t>96.3%</t>
  </si>
  <si>
    <t>0.0%</t>
  </si>
  <si>
    <t>7.4%</t>
  </si>
  <si>
    <t xml:space="preserve">Spread </t>
  </si>
  <si>
    <t>59.3%</t>
  </si>
  <si>
    <t>40.7%</t>
  </si>
  <si>
    <t>37.0%</t>
  </si>
  <si>
    <t>25.9%</t>
  </si>
  <si>
    <t xml:space="preserve">HV </t>
  </si>
  <si>
    <t>100.0%</t>
  </si>
  <si>
    <t>3.7%</t>
  </si>
  <si>
    <t>No_Attn</t>
  </si>
  <si>
    <t>Flat_DRL</t>
  </si>
  <si>
    <t>HomoGNN</t>
  </si>
  <si>
    <t>MLP_Encoder</t>
  </si>
  <si>
    <t>33.3%</t>
  </si>
  <si>
    <t>14.8%</t>
  </si>
  <si>
    <t>22.2%</t>
  </si>
  <si>
    <t>29.6%</t>
  </si>
  <si>
    <t>48.1%</t>
  </si>
  <si>
    <t>44.4%</t>
  </si>
  <si>
    <t>18.5%</t>
  </si>
  <si>
    <r>
      <rPr>
        <sz val="12"/>
        <color theme="1"/>
        <rFont val="宋体"/>
        <charset val="134"/>
      </rPr>
      <t>对比算法终止条件评估次数：</t>
    </r>
    <r>
      <rPr>
        <sz val="12"/>
        <color theme="1"/>
        <rFont val="Times New Roman"/>
        <charset val="134"/>
      </rPr>
      <t>m*n*1000</t>
    </r>
  </si>
  <si>
    <t>Algorithm</t>
  </si>
  <si>
    <t>5×10</t>
  </si>
  <si>
    <t>5×15</t>
  </si>
  <si>
    <t>5×20</t>
  </si>
  <si>
    <t>8×10</t>
  </si>
  <si>
    <t>8×15</t>
  </si>
  <si>
    <t>8×20</t>
  </si>
  <si>
    <t>10×10</t>
  </si>
  <si>
    <t>10×15</t>
  </si>
  <si>
    <t>10×20</t>
  </si>
  <si>
    <t>15×10</t>
  </si>
  <si>
    <t>15×15</t>
  </si>
  <si>
    <t>15×20</t>
  </si>
  <si>
    <t>Average</t>
  </si>
  <si>
    <t>SADE (Self-adaptive Differential Evolution)</t>
  </si>
  <si>
    <t>MSELS (Multi-Start Evolutionary Local Search)</t>
  </si>
  <si>
    <t>IGA (Improved Genetic Algorithm)</t>
  </si>
  <si>
    <t>DABC(Dual-Space Artificial Bee Colony Algorithm)</t>
  </si>
  <si>
    <t>HGNN</t>
  </si>
  <si>
    <r>
      <rPr>
        <sz val="12"/>
        <color theme="1"/>
        <rFont val="宋体"/>
        <charset val="134"/>
      </rPr>
      <t>对比算法终止条件运行时间：</t>
    </r>
    <r>
      <rPr>
        <sz val="12"/>
        <color theme="1"/>
        <rFont val="Times New Roman"/>
        <charset val="134"/>
      </rPr>
      <t>m*n*8S</t>
    </r>
  </si>
  <si>
    <t>5x10</t>
  </si>
  <si>
    <t>5x15</t>
  </si>
  <si>
    <t>5x20</t>
  </si>
  <si>
    <t>8x10</t>
  </si>
  <si>
    <t>8x15</t>
  </si>
  <si>
    <t>8x20</t>
  </si>
  <si>
    <t>10x10</t>
  </si>
  <si>
    <t>10x15</t>
  </si>
  <si>
    <t>10x20</t>
  </si>
  <si>
    <t>15x10</t>
  </si>
  <si>
    <t>15x15</t>
  </si>
  <si>
    <t>15x20</t>
  </si>
  <si>
    <t>591.40</t>
  </si>
  <si>
    <t>841.40</t>
  </si>
  <si>
    <t>1244.00</t>
  </si>
  <si>
    <t>803.40</t>
  </si>
  <si>
    <t>1202.80</t>
  </si>
  <si>
    <t>1993.20</t>
  </si>
  <si>
    <t>896.40</t>
  </si>
  <si>
    <t>1334.40</t>
  </si>
  <si>
    <t>2058.80</t>
  </si>
  <si>
    <t>1212.20</t>
  </si>
  <si>
    <t>1689.80</t>
  </si>
  <si>
    <t>2406.00</t>
  </si>
  <si>
    <t>1356.15</t>
  </si>
  <si>
    <t>573.60</t>
  </si>
  <si>
    <t>854.20</t>
  </si>
  <si>
    <t>1224.80</t>
  </si>
  <si>
    <t>822.00</t>
  </si>
  <si>
    <t>1425.60</t>
  </si>
  <si>
    <t>2261.40</t>
  </si>
  <si>
    <t>957.00</t>
  </si>
  <si>
    <t>1696.80</t>
  </si>
  <si>
    <t>2646.20</t>
  </si>
  <si>
    <t>1472.20</t>
  </si>
  <si>
    <t>2498.40</t>
  </si>
  <si>
    <t>3797.00</t>
  </si>
  <si>
    <t>1685.77</t>
  </si>
  <si>
    <t>879.00</t>
  </si>
  <si>
    <t>1279.20</t>
  </si>
  <si>
    <t>1706.80</t>
  </si>
  <si>
    <t>1230.40</t>
  </si>
  <si>
    <t>1823.00</t>
  </si>
  <si>
    <t>2616.20</t>
  </si>
  <si>
    <t>1363.60</t>
  </si>
  <si>
    <t>2023.20</t>
  </si>
  <si>
    <t>2766.40</t>
  </si>
  <si>
    <t>1797.60</t>
  </si>
  <si>
    <t>2554.40</t>
  </si>
  <si>
    <t>3404.40</t>
  </si>
  <si>
    <t>1953.68</t>
  </si>
  <si>
    <t>426.40</t>
  </si>
  <si>
    <t>564.60</t>
  </si>
  <si>
    <t>782.80</t>
  </si>
  <si>
    <t>493.60</t>
  </si>
  <si>
    <t>780.20</t>
  </si>
  <si>
    <t>1173.60</t>
  </si>
  <si>
    <t>542.20</t>
  </si>
  <si>
    <t>871.60</t>
  </si>
  <si>
    <t>1313.00</t>
  </si>
  <si>
    <t>764.80</t>
  </si>
  <si>
    <t>1127.60</t>
  </si>
  <si>
    <t>1607.80</t>
  </si>
  <si>
    <t>870.68</t>
  </si>
  <si>
    <t>case0</t>
  </si>
  <si>
    <t>case1</t>
  </si>
  <si>
    <t>case2</t>
  </si>
  <si>
    <t>case3</t>
  </si>
  <si>
    <t>case4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</si>
</sst>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_ * #,##0.00_ ;_ * \-#,##0.00_ ;_ * &quot;-&quot;??.00_ ;_ @_ "/>
    <numFmt numFmtId="178" formatCode="0.00_);[Red]\(0.00\)"/>
    <numFmt numFmtId="179" formatCode="0.00000_ "/>
    <numFmt numFmtId="180" formatCode="0.0%"/>
  </numFmts>
  <fonts count="30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0F1115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3" borderId="5">
      <alignment vertical="center"/>
    </xf>
    <xf numFmtId="0" fontId="19" fillId="4" borderId="6">
      <alignment vertical="center"/>
    </xf>
    <xf numFmtId="0" fontId="20" fillId="4" borderId="5">
      <alignment vertical="center"/>
    </xf>
    <xf numFmtId="0" fontId="21" fillId="5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6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vertic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179" fontId="6" fillId="0" borderId="0" xfId="0" applyNumberFormat="1" applyFont="1" applyFill="1" applyAlignment="1">
      <alignment horizontal="center"/>
    </xf>
    <xf numFmtId="179" fontId="8" fillId="0" borderId="0" xfId="0" applyNumberFormat="1" applyFont="1" applyFill="1" applyAlignment="1">
      <alignment horizontal="center"/>
    </xf>
    <xf numFmtId="179" fontId="7" fillId="0" borderId="0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180" fontId="7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180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179" fontId="6" fillId="0" borderId="0" xfId="0" applyNumberFormat="1" applyFont="1" applyBorder="1" applyAlignment="1">
      <alignment horizontal="center"/>
    </xf>
    <xf numFmtId="180" fontId="6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workbookViewId="0">
      <selection activeCell="M26" sqref="M26"/>
    </sheetView>
  </sheetViews>
  <sheetFormatPr defaultColWidth="9" defaultRowHeight="18"/>
  <cols>
    <col min="1" max="1" width="14" style="18" customWidth="1"/>
    <col min="2" max="24" width="15" style="18" customWidth="1"/>
    <col min="25" max="16384" width="9" style="18" customWidth="1"/>
  </cols>
  <sheetData>
    <row r="1" ht="15.6" customHeight="1" spans="1:20">
      <c r="B1" s="20" t="s">
        <v>0</v>
      </c>
      <c r="H1" s="20" t="s">
        <v>1</v>
      </c>
      <c r="N1" s="20" t="s">
        <v>2</v>
      </c>
    </row>
    <row r="2" spans="1:20">
      <c r="A2" s="20" t="s">
        <v>3</v>
      </c>
      <c r="B2" s="22" t="s">
        <v>4</v>
      </c>
      <c r="C2" s="22" t="s">
        <v>5</v>
      </c>
      <c r="D2" s="22" t="s">
        <v>6</v>
      </c>
      <c r="E2" s="22" t="s">
        <v>7</v>
      </c>
      <c r="F2" s="22" t="s">
        <v>8</v>
      </c>
      <c r="G2" s="30"/>
      <c r="H2" s="22" t="s">
        <v>4</v>
      </c>
      <c r="I2" s="22" t="s">
        <v>5</v>
      </c>
      <c r="J2" s="22" t="s">
        <v>6</v>
      </c>
      <c r="K2" s="22" t="s">
        <v>7</v>
      </c>
      <c r="L2" s="22" t="s">
        <v>8</v>
      </c>
      <c r="M2" s="30"/>
      <c r="N2" s="22" t="s">
        <v>4</v>
      </c>
      <c r="O2" s="22" t="s">
        <v>5</v>
      </c>
      <c r="P2" s="22" t="s">
        <v>6</v>
      </c>
      <c r="Q2" s="22" t="s">
        <v>7</v>
      </c>
      <c r="R2" s="22" t="s">
        <v>8</v>
      </c>
      <c r="S2" s="30"/>
      <c r="T2" s="30"/>
    </row>
    <row r="3" spans="1:20">
      <c r="A3" s="20" t="s">
        <v>9</v>
      </c>
      <c r="B3" s="24">
        <v>0.040695</v>
      </c>
      <c r="C3" s="23">
        <v>0.134645</v>
      </c>
      <c r="D3" s="23">
        <v>0.134645</v>
      </c>
      <c r="E3" s="23">
        <v>0.117001</v>
      </c>
      <c r="F3" s="23">
        <v>0.086059</v>
      </c>
      <c r="G3" s="31"/>
      <c r="H3" s="24">
        <v>0</v>
      </c>
      <c r="I3" s="24">
        <v>0</v>
      </c>
      <c r="J3" s="24">
        <v>0</v>
      </c>
      <c r="K3" s="23">
        <v>0.454882</v>
      </c>
      <c r="L3" s="24">
        <v>0</v>
      </c>
      <c r="M3" s="31"/>
      <c r="N3" s="24">
        <v>0.926193</v>
      </c>
      <c r="O3" s="23">
        <v>0.773979</v>
      </c>
      <c r="P3" s="23">
        <v>0.773979</v>
      </c>
      <c r="Q3" s="23">
        <v>0.84846</v>
      </c>
      <c r="R3" s="23">
        <v>0.86203</v>
      </c>
    </row>
    <row r="4" spans="1:20">
      <c r="A4" s="20" t="s">
        <v>10</v>
      </c>
      <c r="B4" s="24">
        <v>0.060571</v>
      </c>
      <c r="C4" s="23">
        <v>0.313225</v>
      </c>
      <c r="D4" s="23">
        <v>0.272652</v>
      </c>
      <c r="E4" s="23">
        <v>0.289041</v>
      </c>
      <c r="F4" s="23">
        <v>0.26378</v>
      </c>
      <c r="G4" s="31"/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31"/>
      <c r="N4" s="24">
        <v>0.944935</v>
      </c>
      <c r="O4" s="23">
        <v>0.716045</v>
      </c>
      <c r="P4" s="23">
        <v>0.730508</v>
      </c>
      <c r="Q4" s="23">
        <v>0.706919</v>
      </c>
      <c r="R4" s="23">
        <v>0.741447</v>
      </c>
    </row>
    <row r="5" spans="1:20">
      <c r="A5" s="20" t="s">
        <v>11</v>
      </c>
      <c r="B5" s="24">
        <v>0</v>
      </c>
      <c r="C5" s="23">
        <v>0.465744</v>
      </c>
      <c r="D5" s="23">
        <v>0.388148</v>
      </c>
      <c r="E5" s="23">
        <v>0.323625</v>
      </c>
      <c r="F5" s="23">
        <v>0.305424</v>
      </c>
      <c r="G5" s="31"/>
      <c r="H5" s="24">
        <v>0.090581</v>
      </c>
      <c r="I5" s="23">
        <v>0.853185</v>
      </c>
      <c r="J5" s="23">
        <v>0.743764</v>
      </c>
      <c r="K5" s="23">
        <v>0.734571</v>
      </c>
      <c r="L5" s="23">
        <v>0.794327</v>
      </c>
      <c r="M5" s="31"/>
      <c r="N5" s="24">
        <v>0.991626</v>
      </c>
      <c r="O5" s="23">
        <v>0.453792</v>
      </c>
      <c r="P5" s="23">
        <v>0.566859</v>
      </c>
      <c r="Q5" s="23">
        <v>0.6512</v>
      </c>
      <c r="R5" s="23">
        <v>0.647349</v>
      </c>
    </row>
    <row r="6" spans="1:20">
      <c r="A6" s="20" t="s">
        <v>12</v>
      </c>
      <c r="B6" s="24">
        <v>0.004597</v>
      </c>
      <c r="C6" s="23">
        <v>0.364198</v>
      </c>
      <c r="D6" s="23">
        <v>0.408483</v>
      </c>
      <c r="E6" s="23">
        <v>0.146774</v>
      </c>
      <c r="F6" s="23">
        <v>0.126744</v>
      </c>
      <c r="G6" s="31"/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31"/>
      <c r="N6" s="24">
        <v>0.995821</v>
      </c>
      <c r="O6" s="23">
        <v>0.641789</v>
      </c>
      <c r="P6" s="23">
        <v>0.597274</v>
      </c>
      <c r="Q6" s="23">
        <v>0.870954</v>
      </c>
      <c r="R6" s="23">
        <v>0.905331</v>
      </c>
    </row>
    <row r="7" spans="1:20">
      <c r="A7" s="20" t="s">
        <v>13</v>
      </c>
      <c r="B7" s="24">
        <v>0.002938</v>
      </c>
      <c r="C7" s="23">
        <v>0.212607</v>
      </c>
      <c r="D7" s="23">
        <v>0.200503</v>
      </c>
      <c r="E7" s="23">
        <v>0.237835</v>
      </c>
      <c r="F7" s="23">
        <v>0.242426</v>
      </c>
      <c r="G7" s="31"/>
      <c r="H7" s="24">
        <v>0.493855</v>
      </c>
      <c r="I7" s="23">
        <v>0.615741</v>
      </c>
      <c r="J7" s="23">
        <v>0.613766</v>
      </c>
      <c r="K7" s="23">
        <v>0.950498</v>
      </c>
      <c r="L7" s="23">
        <v>0.943503</v>
      </c>
      <c r="M7" s="31"/>
      <c r="N7" s="24">
        <v>0.995503</v>
      </c>
      <c r="O7" s="23">
        <v>0.699409</v>
      </c>
      <c r="P7" s="23">
        <v>0.701115</v>
      </c>
      <c r="Q7" s="23">
        <v>0.727625</v>
      </c>
      <c r="R7" s="23">
        <v>0.722965</v>
      </c>
    </row>
    <row r="8" spans="1:20">
      <c r="A8" s="20" t="s">
        <v>14</v>
      </c>
      <c r="B8" s="24">
        <v>0.02226</v>
      </c>
      <c r="C8" s="23">
        <v>0.19456</v>
      </c>
      <c r="D8" s="23">
        <v>0.162541</v>
      </c>
      <c r="E8" s="23">
        <v>0.174397</v>
      </c>
      <c r="F8" s="23">
        <v>0.175049</v>
      </c>
      <c r="G8" s="31"/>
      <c r="H8" s="23">
        <v>0.559476</v>
      </c>
      <c r="I8" s="23">
        <v>0.929162</v>
      </c>
      <c r="J8" s="24">
        <v>0.521648</v>
      </c>
      <c r="K8" s="23">
        <v>0.861686</v>
      </c>
      <c r="L8" s="23">
        <v>0.994757</v>
      </c>
      <c r="M8" s="31"/>
      <c r="N8" s="24">
        <v>0.968285</v>
      </c>
      <c r="O8" s="23">
        <v>0.780101</v>
      </c>
      <c r="P8" s="23">
        <v>0.812324</v>
      </c>
      <c r="Q8" s="23">
        <v>0.822125</v>
      </c>
      <c r="R8" s="23">
        <v>0.826252</v>
      </c>
    </row>
    <row r="9" spans="1:20">
      <c r="A9" s="20" t="s">
        <v>15</v>
      </c>
      <c r="B9" s="24">
        <v>0.096019</v>
      </c>
      <c r="C9" s="23">
        <v>0.208552</v>
      </c>
      <c r="D9" s="23">
        <v>0.208552</v>
      </c>
      <c r="E9" s="23">
        <v>0.295022</v>
      </c>
      <c r="F9" s="23">
        <v>0.305382</v>
      </c>
      <c r="G9" s="31"/>
      <c r="H9" s="24">
        <v>0.220478</v>
      </c>
      <c r="I9" s="23">
        <v>0.391128</v>
      </c>
      <c r="J9" s="23">
        <v>0.391128</v>
      </c>
      <c r="K9" s="23">
        <v>0.783214</v>
      </c>
      <c r="L9" s="23">
        <v>0.552156</v>
      </c>
      <c r="M9" s="31"/>
      <c r="N9" s="24">
        <v>0.895871</v>
      </c>
      <c r="O9" s="23">
        <v>0.70627</v>
      </c>
      <c r="P9" s="23">
        <v>0.70627</v>
      </c>
      <c r="Q9" s="23">
        <v>0.64967</v>
      </c>
      <c r="R9" s="23">
        <v>0.651347</v>
      </c>
    </row>
    <row r="10" spans="1:20">
      <c r="A10" s="20" t="s">
        <v>16</v>
      </c>
      <c r="B10" s="24">
        <v>0.019483</v>
      </c>
      <c r="C10" s="23">
        <v>0.332764</v>
      </c>
      <c r="D10" s="23">
        <v>0.332764</v>
      </c>
      <c r="E10" s="23">
        <v>0.276035</v>
      </c>
      <c r="F10" s="23">
        <v>0.217192</v>
      </c>
      <c r="G10" s="31"/>
      <c r="H10" s="23">
        <v>0.094635</v>
      </c>
      <c r="I10" s="23">
        <v>0.940947</v>
      </c>
      <c r="J10" s="23">
        <v>0.940947</v>
      </c>
      <c r="K10" s="24">
        <v>0</v>
      </c>
      <c r="L10" s="23">
        <v>0.901044</v>
      </c>
      <c r="M10" s="31"/>
      <c r="N10" s="24">
        <v>0.984822</v>
      </c>
      <c r="O10" s="23">
        <v>0.643051</v>
      </c>
      <c r="P10" s="23">
        <v>0.643051</v>
      </c>
      <c r="Q10" s="23">
        <v>0.743025</v>
      </c>
      <c r="R10" s="23">
        <v>0.801249</v>
      </c>
    </row>
    <row r="11" spans="1:20">
      <c r="A11" s="20" t="s">
        <v>17</v>
      </c>
      <c r="B11" s="24">
        <v>0.030329</v>
      </c>
      <c r="C11" s="23">
        <v>0.224387</v>
      </c>
      <c r="D11" s="23">
        <v>0.06444</v>
      </c>
      <c r="E11" s="23">
        <v>0.265387</v>
      </c>
      <c r="F11" s="23">
        <v>0.162735</v>
      </c>
      <c r="G11" s="31"/>
      <c r="H11" s="24">
        <v>0</v>
      </c>
      <c r="I11" s="23">
        <v>0.926935</v>
      </c>
      <c r="J11" s="24">
        <v>0</v>
      </c>
      <c r="K11" s="23">
        <v>0.912614</v>
      </c>
      <c r="L11" s="23">
        <v>0.637445</v>
      </c>
      <c r="M11" s="31"/>
      <c r="N11" s="24">
        <v>0.961898</v>
      </c>
      <c r="O11" s="23">
        <v>0.66786</v>
      </c>
      <c r="P11" s="23">
        <v>0.828842</v>
      </c>
      <c r="Q11" s="23">
        <v>0.683773</v>
      </c>
      <c r="R11" s="23">
        <v>0.716913</v>
      </c>
    </row>
    <row r="12" spans="1:20">
      <c r="A12" s="20" t="s">
        <v>18</v>
      </c>
      <c r="B12" s="24">
        <v>0</v>
      </c>
      <c r="C12" s="23">
        <v>0.388363</v>
      </c>
      <c r="D12" s="23">
        <v>0.388363</v>
      </c>
      <c r="E12" s="23">
        <v>0.003866</v>
      </c>
      <c r="F12" s="24">
        <v>0</v>
      </c>
      <c r="G12" s="31"/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31"/>
      <c r="N12" s="24">
        <v>1</v>
      </c>
      <c r="O12" s="23">
        <v>0.790139</v>
      </c>
      <c r="P12" s="23">
        <v>0.628378</v>
      </c>
      <c r="Q12" s="23">
        <v>0.999828</v>
      </c>
      <c r="R12" s="24">
        <v>1</v>
      </c>
    </row>
    <row r="13" spans="1:20">
      <c r="A13" s="20" t="s">
        <v>19</v>
      </c>
      <c r="B13" s="24">
        <v>0.034783</v>
      </c>
      <c r="C13" s="23">
        <v>0.082609</v>
      </c>
      <c r="D13" s="23">
        <v>0.082609</v>
      </c>
      <c r="E13" s="23">
        <v>0.12058</v>
      </c>
      <c r="F13" s="23">
        <v>0.148439</v>
      </c>
      <c r="G13" s="31"/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31"/>
      <c r="N13" s="24">
        <v>0.997665</v>
      </c>
      <c r="O13" s="23">
        <v>0.924901</v>
      </c>
      <c r="P13" s="23">
        <v>0.924901</v>
      </c>
      <c r="Q13" s="23">
        <v>0.913713</v>
      </c>
      <c r="R13" s="23">
        <v>0.887515</v>
      </c>
    </row>
    <row r="14" spans="1:20">
      <c r="A14" s="20" t="s">
        <v>20</v>
      </c>
      <c r="B14" s="24">
        <v>0.001965</v>
      </c>
      <c r="C14" s="23">
        <v>0.460216</v>
      </c>
      <c r="D14" s="23">
        <v>0.338724</v>
      </c>
      <c r="E14" s="23">
        <v>0.231422</v>
      </c>
      <c r="F14" s="23">
        <v>0.156932</v>
      </c>
      <c r="G14" s="31"/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31"/>
      <c r="N14" s="24">
        <v>0.998214</v>
      </c>
      <c r="O14" s="23">
        <v>0.53862</v>
      </c>
      <c r="P14" s="23">
        <v>0.658593</v>
      </c>
      <c r="Q14" s="23">
        <v>0.783051</v>
      </c>
      <c r="R14" s="23">
        <v>0.857335</v>
      </c>
    </row>
    <row r="15" spans="1:20">
      <c r="A15" s="20" t="s">
        <v>21</v>
      </c>
      <c r="B15" s="24">
        <v>0.010988</v>
      </c>
      <c r="C15" s="23">
        <v>0.230122</v>
      </c>
      <c r="D15" s="23">
        <v>0.230122</v>
      </c>
      <c r="E15" s="23">
        <v>0.087216</v>
      </c>
      <c r="F15" s="23">
        <v>0.067208</v>
      </c>
      <c r="G15" s="31"/>
      <c r="H15" s="24">
        <v>0.496628</v>
      </c>
      <c r="I15" s="23">
        <v>0.592767</v>
      </c>
      <c r="J15" s="23">
        <v>0.592767</v>
      </c>
      <c r="K15" s="23">
        <v>0.620898</v>
      </c>
      <c r="L15" s="23">
        <v>0.769858</v>
      </c>
      <c r="M15" s="31"/>
      <c r="N15" s="24">
        <v>0.99585</v>
      </c>
      <c r="O15" s="23">
        <v>0.692425</v>
      </c>
      <c r="P15" s="23">
        <v>0.692425</v>
      </c>
      <c r="Q15" s="23">
        <v>0.920855</v>
      </c>
      <c r="R15" s="23">
        <v>0.912801</v>
      </c>
    </row>
    <row r="16" spans="1:20">
      <c r="A16" s="20" t="s">
        <v>22</v>
      </c>
      <c r="B16" s="23">
        <v>0.179195</v>
      </c>
      <c r="C16" s="23">
        <v>0.288591</v>
      </c>
      <c r="D16" s="23">
        <v>0.272367</v>
      </c>
      <c r="E16" s="23">
        <v>0.143383</v>
      </c>
      <c r="F16" s="24">
        <v>0.102474</v>
      </c>
      <c r="G16" s="31"/>
      <c r="H16" s="24">
        <v>0.76678</v>
      </c>
      <c r="I16" s="23">
        <v>0.805355</v>
      </c>
      <c r="J16" s="23">
        <v>0.801531</v>
      </c>
      <c r="K16" s="23">
        <v>0.774916</v>
      </c>
      <c r="L16" s="23">
        <v>0.768639</v>
      </c>
      <c r="M16" s="31"/>
      <c r="N16" s="24">
        <v>0.827748</v>
      </c>
      <c r="O16" s="23">
        <v>0.612856</v>
      </c>
      <c r="P16" s="23">
        <v>0.639176</v>
      </c>
      <c r="Q16" s="23">
        <v>0.786352</v>
      </c>
      <c r="R16" s="23">
        <v>0.819205</v>
      </c>
    </row>
    <row r="17" spans="1:18">
      <c r="A17" s="20" t="s">
        <v>23</v>
      </c>
      <c r="B17" s="24">
        <v>0.075197</v>
      </c>
      <c r="C17" s="23">
        <v>0.201498</v>
      </c>
      <c r="D17" s="23">
        <v>0.156109</v>
      </c>
      <c r="E17" s="23">
        <v>0.219888</v>
      </c>
      <c r="F17" s="23">
        <v>0.181665</v>
      </c>
      <c r="G17" s="31"/>
      <c r="H17" s="24">
        <v>0.515108</v>
      </c>
      <c r="I17" s="23">
        <v>0.781124</v>
      </c>
      <c r="J17" s="23">
        <v>0.726953</v>
      </c>
      <c r="K17" s="23">
        <v>0.871797</v>
      </c>
      <c r="L17" s="23">
        <v>0.644655</v>
      </c>
      <c r="M17" s="31"/>
      <c r="N17" s="24">
        <v>0.900085</v>
      </c>
      <c r="O17" s="23">
        <v>0.654876</v>
      </c>
      <c r="P17" s="23">
        <v>0.748435</v>
      </c>
      <c r="Q17" s="23">
        <v>0.729522</v>
      </c>
      <c r="R17" s="23">
        <v>0.711647</v>
      </c>
    </row>
    <row r="18" spans="1:18">
      <c r="A18" s="20" t="s">
        <v>24</v>
      </c>
      <c r="B18" s="24">
        <v>0.037624</v>
      </c>
      <c r="C18" s="23">
        <v>0.201191</v>
      </c>
      <c r="D18" s="23">
        <v>0.201191</v>
      </c>
      <c r="E18" s="23">
        <v>0.224254</v>
      </c>
      <c r="F18" s="23">
        <v>0.223872</v>
      </c>
      <c r="G18" s="31"/>
      <c r="H18" s="23">
        <v>0.746964</v>
      </c>
      <c r="I18" s="23">
        <v>0.520151</v>
      </c>
      <c r="J18" s="23">
        <v>0.520151</v>
      </c>
      <c r="K18" s="23">
        <v>0.517</v>
      </c>
      <c r="L18" s="24">
        <v>0.495522</v>
      </c>
      <c r="M18" s="31"/>
      <c r="N18" s="24">
        <v>0.963171</v>
      </c>
      <c r="O18" s="23">
        <v>0.71644</v>
      </c>
      <c r="P18" s="23">
        <v>0.71644</v>
      </c>
      <c r="Q18" s="23">
        <v>0.744559</v>
      </c>
      <c r="R18" s="23">
        <v>0.72552</v>
      </c>
    </row>
    <row r="19" spans="1:18">
      <c r="A19" s="20" t="s">
        <v>25</v>
      </c>
      <c r="B19" s="24">
        <v>0.001473</v>
      </c>
      <c r="C19" s="23">
        <v>0.32888</v>
      </c>
      <c r="D19" s="23">
        <v>0.32888</v>
      </c>
      <c r="E19" s="23">
        <v>0.197246</v>
      </c>
      <c r="F19" s="23">
        <v>0.159194</v>
      </c>
      <c r="G19" s="31"/>
      <c r="H19" s="23">
        <v>0.677083</v>
      </c>
      <c r="I19" s="23">
        <v>0.744112</v>
      </c>
      <c r="J19" s="23">
        <v>0.801165</v>
      </c>
      <c r="K19" s="23">
        <v>0.807528</v>
      </c>
      <c r="L19" s="24">
        <v>0.637173</v>
      </c>
      <c r="M19" s="31"/>
      <c r="N19" s="24">
        <v>0.995001</v>
      </c>
      <c r="O19" s="23">
        <v>0.615258</v>
      </c>
      <c r="P19" s="23">
        <v>0.597028</v>
      </c>
      <c r="Q19" s="23">
        <v>0.791032</v>
      </c>
      <c r="R19" s="23">
        <v>0.791407</v>
      </c>
    </row>
    <row r="20" spans="1:18">
      <c r="A20" s="20" t="s">
        <v>26</v>
      </c>
      <c r="B20" s="24">
        <v>0.028668</v>
      </c>
      <c r="C20" s="23">
        <v>0.168672</v>
      </c>
      <c r="D20" s="23">
        <v>0.259373</v>
      </c>
      <c r="E20" s="23">
        <v>0.335171</v>
      </c>
      <c r="F20" s="23">
        <v>0.284664</v>
      </c>
      <c r="G20" s="31"/>
      <c r="H20" s="23">
        <v>0.61902</v>
      </c>
      <c r="I20" s="24">
        <v>0</v>
      </c>
      <c r="J20" s="23">
        <v>0.882825</v>
      </c>
      <c r="K20" s="23">
        <v>0.898308</v>
      </c>
      <c r="L20" s="23">
        <v>0.591366</v>
      </c>
      <c r="M20" s="31"/>
      <c r="N20" s="24">
        <v>0.9855</v>
      </c>
      <c r="O20" s="23">
        <v>0.732319</v>
      </c>
      <c r="P20" s="23">
        <v>0.648104</v>
      </c>
      <c r="Q20" s="23">
        <v>0.670843</v>
      </c>
      <c r="R20" s="23">
        <v>0.683342</v>
      </c>
    </row>
    <row r="21" spans="1:18">
      <c r="A21" s="20" t="s">
        <v>27</v>
      </c>
      <c r="B21" s="24">
        <v>0.022919</v>
      </c>
      <c r="C21" s="23">
        <v>0.039933</v>
      </c>
      <c r="D21" s="23">
        <v>0.039933</v>
      </c>
      <c r="E21" s="23">
        <v>0.243757</v>
      </c>
      <c r="F21" s="23">
        <v>0.087525</v>
      </c>
      <c r="G21" s="31"/>
      <c r="H21" s="23">
        <v>0.834371</v>
      </c>
      <c r="I21" s="24">
        <v>0</v>
      </c>
      <c r="J21" s="24">
        <v>0</v>
      </c>
      <c r="K21" s="23">
        <v>0.739488</v>
      </c>
      <c r="L21" s="24">
        <v>0</v>
      </c>
      <c r="M21" s="31"/>
      <c r="N21" s="24">
        <v>0.971258</v>
      </c>
      <c r="O21" s="23">
        <v>0.881277</v>
      </c>
      <c r="P21" s="23">
        <v>0.881277</v>
      </c>
      <c r="Q21" s="23">
        <v>0.706769</v>
      </c>
      <c r="R21" s="23">
        <v>0.815754</v>
      </c>
    </row>
    <row r="22" spans="1:18">
      <c r="A22" s="20" t="s">
        <v>28</v>
      </c>
      <c r="B22" s="24">
        <v>0.040259</v>
      </c>
      <c r="C22" s="23">
        <v>0.379137</v>
      </c>
      <c r="D22" s="23">
        <v>0.379137</v>
      </c>
      <c r="E22" s="23">
        <v>0.320243</v>
      </c>
      <c r="F22" s="23">
        <v>0.387734</v>
      </c>
      <c r="G22" s="31"/>
      <c r="H22" s="24">
        <v>0.740859</v>
      </c>
      <c r="I22" s="23">
        <v>0.760357</v>
      </c>
      <c r="J22" s="23">
        <v>0.760357</v>
      </c>
      <c r="K22" s="23">
        <v>0.896559</v>
      </c>
      <c r="L22" s="23">
        <v>0.912296</v>
      </c>
      <c r="M22" s="31"/>
      <c r="N22" s="24">
        <v>0.909498</v>
      </c>
      <c r="O22" s="23">
        <v>0.546167</v>
      </c>
      <c r="P22" s="23">
        <v>0.546167</v>
      </c>
      <c r="Q22" s="23">
        <v>0.592287</v>
      </c>
      <c r="R22" s="23">
        <v>0.542978</v>
      </c>
    </row>
    <row r="23" spans="1:18">
      <c r="A23" s="20" t="s">
        <v>29</v>
      </c>
      <c r="B23" s="24">
        <v>0.048997</v>
      </c>
      <c r="C23" s="23">
        <v>0.285819</v>
      </c>
      <c r="D23" s="23">
        <v>0.293391</v>
      </c>
      <c r="E23" s="23">
        <v>0.139805</v>
      </c>
      <c r="F23" s="23">
        <v>0.163949</v>
      </c>
      <c r="G23" s="31"/>
      <c r="H23" s="23">
        <v>0.667253</v>
      </c>
      <c r="I23" s="24">
        <v>0</v>
      </c>
      <c r="J23" s="23">
        <v>0.70645</v>
      </c>
      <c r="K23" s="24">
        <v>0</v>
      </c>
      <c r="L23" s="23">
        <v>0.733582</v>
      </c>
      <c r="M23" s="31"/>
      <c r="N23" s="24">
        <v>0.928383</v>
      </c>
      <c r="O23" s="23">
        <v>0.580006</v>
      </c>
      <c r="P23" s="23">
        <v>0.66081</v>
      </c>
      <c r="Q23" s="23">
        <v>0.756634</v>
      </c>
      <c r="R23" s="23">
        <v>0.777197</v>
      </c>
    </row>
    <row r="24" spans="1:18">
      <c r="A24" s="20" t="s">
        <v>30</v>
      </c>
      <c r="B24" s="24">
        <v>0.01134</v>
      </c>
      <c r="C24" s="23">
        <v>0.228372</v>
      </c>
      <c r="D24" s="23">
        <v>0.228372</v>
      </c>
      <c r="E24" s="23">
        <v>0.110798</v>
      </c>
      <c r="F24" s="23">
        <v>0.103901</v>
      </c>
      <c r="G24" s="31"/>
      <c r="H24" s="24">
        <v>0.261944</v>
      </c>
      <c r="I24" s="23">
        <v>0.437552</v>
      </c>
      <c r="J24" s="23">
        <v>0.437552</v>
      </c>
      <c r="K24" s="23">
        <v>0.94157</v>
      </c>
      <c r="L24" s="23">
        <v>0.687515</v>
      </c>
      <c r="M24" s="31"/>
      <c r="N24" s="24">
        <v>0.994443</v>
      </c>
      <c r="O24" s="23">
        <v>0.726835</v>
      </c>
      <c r="P24" s="23">
        <v>0.726835</v>
      </c>
      <c r="Q24" s="23">
        <v>0.861203</v>
      </c>
      <c r="R24" s="23">
        <v>0.879967</v>
      </c>
    </row>
    <row r="25" spans="1:18">
      <c r="A25" s="20" t="s">
        <v>31</v>
      </c>
      <c r="B25" s="24">
        <v>0.022468</v>
      </c>
      <c r="C25" s="23">
        <v>0.384631</v>
      </c>
      <c r="D25" s="23">
        <v>0.384631</v>
      </c>
      <c r="E25" s="23">
        <v>0.224501</v>
      </c>
      <c r="F25" s="23">
        <v>0.158482</v>
      </c>
      <c r="G25" s="31"/>
      <c r="H25" s="23">
        <v>0.4735</v>
      </c>
      <c r="I25" s="24">
        <v>0</v>
      </c>
      <c r="J25" s="23">
        <v>0.782564</v>
      </c>
      <c r="K25" s="23">
        <v>0.94414</v>
      </c>
      <c r="L25" s="23">
        <v>0.575691</v>
      </c>
      <c r="M25" s="31"/>
      <c r="N25" s="24">
        <v>0.968855</v>
      </c>
      <c r="O25" s="23">
        <v>0.462065</v>
      </c>
      <c r="P25" s="23">
        <v>0.465625</v>
      </c>
      <c r="Q25" s="23">
        <v>0.670711</v>
      </c>
      <c r="R25" s="23">
        <v>0.73457</v>
      </c>
    </row>
    <row r="26" spans="1:18">
      <c r="A26" s="20" t="s">
        <v>32</v>
      </c>
      <c r="B26" s="24">
        <v>0.107664</v>
      </c>
      <c r="C26" s="23">
        <v>0.341143</v>
      </c>
      <c r="D26" s="23">
        <v>0.337655</v>
      </c>
      <c r="E26" s="23">
        <v>0.24614</v>
      </c>
      <c r="F26" s="23">
        <v>0.12674</v>
      </c>
      <c r="G26" s="31"/>
      <c r="H26" s="23">
        <v>0.716631</v>
      </c>
      <c r="I26" s="23">
        <v>0.921173</v>
      </c>
      <c r="J26" s="23">
        <v>0.777119</v>
      </c>
      <c r="K26" s="23">
        <v>0.920511</v>
      </c>
      <c r="L26" s="24">
        <v>0.309691</v>
      </c>
      <c r="M26" s="31"/>
      <c r="N26" s="24">
        <v>0.872289</v>
      </c>
      <c r="O26" s="23">
        <v>0.508984</v>
      </c>
      <c r="P26" s="23">
        <v>0.540012</v>
      </c>
      <c r="Q26" s="23">
        <v>0.608423</v>
      </c>
      <c r="R26" s="23">
        <v>0.747935</v>
      </c>
    </row>
    <row r="27" spans="1:18">
      <c r="A27" s="20" t="s">
        <v>33</v>
      </c>
      <c r="B27" s="24">
        <v>0.053947</v>
      </c>
      <c r="C27" s="23">
        <v>0.29185</v>
      </c>
      <c r="D27" s="23">
        <v>0.29185</v>
      </c>
      <c r="E27" s="23">
        <v>0.247731</v>
      </c>
      <c r="F27" s="23">
        <v>0.257255</v>
      </c>
      <c r="G27" s="31"/>
      <c r="H27" s="23">
        <v>0.426201</v>
      </c>
      <c r="I27" s="24">
        <v>0</v>
      </c>
      <c r="J27" s="24">
        <v>0</v>
      </c>
      <c r="K27" s="23">
        <v>0.787665</v>
      </c>
      <c r="L27" s="23">
        <v>0.788163</v>
      </c>
      <c r="M27" s="31"/>
      <c r="N27" s="24">
        <v>0.89783</v>
      </c>
      <c r="O27" s="23">
        <v>0.589612</v>
      </c>
      <c r="P27" s="23">
        <v>0.589612</v>
      </c>
      <c r="Q27" s="23">
        <v>0.646011</v>
      </c>
      <c r="R27" s="23">
        <v>0.631067</v>
      </c>
    </row>
    <row r="28" spans="1:18">
      <c r="A28" s="20" t="s">
        <v>34</v>
      </c>
      <c r="B28" s="24">
        <v>0.037754</v>
      </c>
      <c r="C28" s="23">
        <v>0.280742</v>
      </c>
      <c r="D28" s="23">
        <v>0.280742</v>
      </c>
      <c r="E28" s="23">
        <v>0.319971</v>
      </c>
      <c r="F28" s="23">
        <v>0.308327</v>
      </c>
      <c r="G28" s="31"/>
      <c r="H28" s="23">
        <v>0.780794</v>
      </c>
      <c r="I28" s="23">
        <v>0.757147</v>
      </c>
      <c r="J28" s="23">
        <v>0.705958</v>
      </c>
      <c r="K28" s="23">
        <v>0.844827</v>
      </c>
      <c r="L28" s="24">
        <v>0.668862</v>
      </c>
      <c r="M28" s="31"/>
      <c r="N28" s="24">
        <v>0.960224</v>
      </c>
      <c r="O28" s="23">
        <v>0.656776</v>
      </c>
      <c r="P28" s="23">
        <v>0.657073</v>
      </c>
      <c r="Q28" s="23">
        <v>0.618978</v>
      </c>
      <c r="R28" s="23">
        <v>0.639172</v>
      </c>
    </row>
    <row r="29" spans="1:18">
      <c r="A29" s="20" t="s">
        <v>35</v>
      </c>
      <c r="B29" s="24">
        <v>0.01785</v>
      </c>
      <c r="C29" s="23">
        <v>0.462075</v>
      </c>
      <c r="D29" s="23">
        <v>0.091939</v>
      </c>
      <c r="E29" s="23">
        <v>0.066285</v>
      </c>
      <c r="F29" s="23">
        <v>0.060719</v>
      </c>
      <c r="G29" s="31"/>
      <c r="H29" s="24">
        <v>0.65575</v>
      </c>
      <c r="I29" s="23">
        <v>0.810806</v>
      </c>
      <c r="J29" s="23">
        <v>0.704951</v>
      </c>
      <c r="K29" s="23">
        <v>0.702012</v>
      </c>
      <c r="L29" s="23">
        <v>0.82481</v>
      </c>
      <c r="M29" s="31"/>
      <c r="N29" s="24">
        <v>0.968492</v>
      </c>
      <c r="O29" s="23">
        <v>0.40343</v>
      </c>
      <c r="P29" s="23">
        <v>0.812638</v>
      </c>
      <c r="Q29" s="23">
        <v>0.848798</v>
      </c>
      <c r="R29" s="23">
        <v>0.854453</v>
      </c>
    </row>
    <row r="33" ht="15.6" customHeight="1" spans="1:18">
      <c r="A33" s="26"/>
      <c r="B33" s="26" t="s">
        <v>4</v>
      </c>
      <c r="C33" s="26" t="s">
        <v>5</v>
      </c>
      <c r="D33" s="26" t="s">
        <v>6</v>
      </c>
      <c r="E33" s="26" t="s">
        <v>7</v>
      </c>
      <c r="F33" s="26" t="s">
        <v>8</v>
      </c>
    </row>
    <row r="34" spans="1:18">
      <c r="A34" s="26" t="s">
        <v>36</v>
      </c>
      <c r="B34" s="26" t="s">
        <v>37</v>
      </c>
      <c r="C34" s="26" t="s">
        <v>38</v>
      </c>
      <c r="D34" s="26" t="s">
        <v>38</v>
      </c>
      <c r="E34" s="26" t="s">
        <v>38</v>
      </c>
      <c r="F34" s="26" t="s">
        <v>39</v>
      </c>
      <c r="H34" s="32"/>
      <c r="I34" s="32"/>
      <c r="J34" s="32"/>
      <c r="K34" s="32"/>
      <c r="L34" s="32"/>
      <c r="N34" s="32"/>
      <c r="O34" s="32"/>
      <c r="P34" s="32"/>
      <c r="Q34" s="32"/>
      <c r="R34" s="32"/>
    </row>
    <row r="35" spans="1:18">
      <c r="A35" s="26" t="s">
        <v>40</v>
      </c>
      <c r="B35" s="26" t="s">
        <v>41</v>
      </c>
      <c r="C35" s="26" t="s">
        <v>42</v>
      </c>
      <c r="D35" s="26" t="s">
        <v>43</v>
      </c>
      <c r="E35" s="26" t="s">
        <v>44</v>
      </c>
      <c r="F35" s="26" t="s">
        <v>42</v>
      </c>
      <c r="H35" s="32"/>
      <c r="I35" s="32"/>
      <c r="J35" s="32"/>
      <c r="K35" s="32"/>
      <c r="L35" s="32"/>
      <c r="N35" s="32"/>
      <c r="O35" s="32"/>
      <c r="P35" s="32"/>
      <c r="Q35" s="32"/>
      <c r="R35" s="32"/>
    </row>
    <row r="36" spans="1:18">
      <c r="A36" s="26" t="s">
        <v>45</v>
      </c>
      <c r="B36" s="26" t="s">
        <v>46</v>
      </c>
      <c r="C36" s="26" t="s">
        <v>38</v>
      </c>
      <c r="D36" s="26" t="s">
        <v>38</v>
      </c>
      <c r="E36" s="26" t="s">
        <v>38</v>
      </c>
      <c r="F36" s="26" t="s">
        <v>47</v>
      </c>
      <c r="H36" s="32"/>
      <c r="I36" s="32"/>
      <c r="J36" s="32"/>
      <c r="K36" s="32"/>
      <c r="L36" s="32"/>
      <c r="N36" s="32"/>
      <c r="O36" s="32"/>
      <c r="P36" s="32"/>
      <c r="Q36" s="32"/>
      <c r="R36" s="32"/>
    </row>
    <row r="38" spans="1:18">
      <c r="A38" s="28"/>
      <c r="B38" s="29"/>
      <c r="C38" s="29"/>
      <c r="D38" s="29"/>
      <c r="E38" s="29"/>
      <c r="F38" s="29"/>
      <c r="H38" s="29"/>
      <c r="I38" s="29"/>
      <c r="J38" s="29"/>
      <c r="K38" s="29"/>
      <c r="L38" s="29"/>
      <c r="N38" s="29"/>
      <c r="O38" s="29"/>
      <c r="P38" s="29"/>
      <c r="Q38" s="29"/>
      <c r="R38" s="29"/>
    </row>
  </sheetData>
  <mergeCells count="3">
    <mergeCell ref="B1:F1"/>
    <mergeCell ref="H1:L1"/>
    <mergeCell ref="N1:R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8"/>
  <sheetViews>
    <sheetView topLeftCell="A3" workbookViewId="0">
      <selection activeCell="B29" sqref="B29"/>
    </sheetView>
  </sheetViews>
  <sheetFormatPr defaultColWidth="9" defaultRowHeight="18"/>
  <cols>
    <col min="1" max="1" width="14" style="18" customWidth="1"/>
    <col min="2" max="24" width="15" style="18" customWidth="1"/>
    <col min="25" max="16384" width="9" style="18" customWidth="1"/>
  </cols>
  <sheetData>
    <row r="1" ht="15.6" customHeight="1" spans="1:29">
      <c r="A1" s="19"/>
      <c r="B1" s="20" t="s">
        <v>0</v>
      </c>
      <c r="G1" s="21"/>
      <c r="H1" s="20" t="s">
        <v>1</v>
      </c>
      <c r="M1" s="19"/>
      <c r="N1" s="20" t="s">
        <v>2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>
      <c r="A2" s="20" t="s">
        <v>3</v>
      </c>
      <c r="B2" s="22" t="s">
        <v>4</v>
      </c>
      <c r="C2" s="22" t="s">
        <v>48</v>
      </c>
      <c r="D2" s="22" t="s">
        <v>49</v>
      </c>
      <c r="E2" s="22" t="s">
        <v>50</v>
      </c>
      <c r="F2" s="22" t="s">
        <v>51</v>
      </c>
      <c r="G2" s="20"/>
      <c r="H2" s="22" t="s">
        <v>4</v>
      </c>
      <c r="I2" s="22" t="s">
        <v>48</v>
      </c>
      <c r="J2" s="22" t="s">
        <v>49</v>
      </c>
      <c r="K2" s="22" t="s">
        <v>50</v>
      </c>
      <c r="L2" s="22" t="s">
        <v>51</v>
      </c>
      <c r="M2" s="20"/>
      <c r="N2" s="22" t="s">
        <v>4</v>
      </c>
      <c r="O2" s="22" t="s">
        <v>48</v>
      </c>
      <c r="P2" s="22" t="s">
        <v>49</v>
      </c>
      <c r="Q2" s="22" t="s">
        <v>50</v>
      </c>
      <c r="R2" s="22" t="s">
        <v>51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>
      <c r="A3" s="20" t="s">
        <v>9</v>
      </c>
      <c r="B3" s="23">
        <v>0.040695</v>
      </c>
      <c r="C3" s="24">
        <v>0.040597</v>
      </c>
      <c r="D3" s="23">
        <v>0.049431</v>
      </c>
      <c r="E3" s="23">
        <v>0.048391</v>
      </c>
      <c r="F3" s="23">
        <v>0.045372</v>
      </c>
      <c r="G3" s="25"/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5"/>
      <c r="N3" s="24">
        <v>0.926193</v>
      </c>
      <c r="O3" s="24">
        <v>0.926193</v>
      </c>
      <c r="P3" s="23">
        <v>0.911313</v>
      </c>
      <c r="Q3" s="23">
        <v>0.913064</v>
      </c>
      <c r="R3" s="23">
        <v>0.918315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>
      <c r="A4" s="20" t="s">
        <v>10</v>
      </c>
      <c r="B4" s="23">
        <v>0.060571</v>
      </c>
      <c r="C4" s="24">
        <v>0</v>
      </c>
      <c r="D4" s="23">
        <v>0.136311</v>
      </c>
      <c r="E4" s="23">
        <v>0.019238</v>
      </c>
      <c r="F4" s="24">
        <v>0</v>
      </c>
      <c r="G4" s="25"/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5"/>
      <c r="N4" s="23">
        <v>0.944935</v>
      </c>
      <c r="O4" s="24">
        <v>1</v>
      </c>
      <c r="P4" s="23">
        <v>0.890866</v>
      </c>
      <c r="Q4" s="23">
        <v>0.992353</v>
      </c>
      <c r="R4" s="24">
        <v>1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>
      <c r="A5" s="20" t="s">
        <v>11</v>
      </c>
      <c r="B5" s="24">
        <v>0</v>
      </c>
      <c r="C5" s="23">
        <v>0.108094</v>
      </c>
      <c r="D5" s="23">
        <v>0.245856</v>
      </c>
      <c r="E5" s="23">
        <v>0.077699</v>
      </c>
      <c r="F5" s="23">
        <v>0.17434</v>
      </c>
      <c r="G5" s="25"/>
      <c r="H5" s="24">
        <v>0.090581</v>
      </c>
      <c r="I5" s="23">
        <v>0.445982</v>
      </c>
      <c r="J5" s="23">
        <v>0.518655</v>
      </c>
      <c r="K5" s="23">
        <v>0.781945</v>
      </c>
      <c r="L5" s="23">
        <v>0.552159</v>
      </c>
      <c r="M5" s="25"/>
      <c r="N5" s="24">
        <v>0.991626</v>
      </c>
      <c r="O5" s="23">
        <v>0.845223</v>
      </c>
      <c r="P5" s="23">
        <v>0.691228</v>
      </c>
      <c r="Q5" s="23">
        <v>0.934688</v>
      </c>
      <c r="R5" s="23">
        <v>0.806176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>
      <c r="A6" s="20" t="s">
        <v>12</v>
      </c>
      <c r="B6" s="23">
        <v>0.004597</v>
      </c>
      <c r="C6" s="24">
        <v>0</v>
      </c>
      <c r="D6" s="23">
        <v>0.022656</v>
      </c>
      <c r="E6" s="23">
        <v>0.004597</v>
      </c>
      <c r="F6" s="24">
        <v>0</v>
      </c>
      <c r="G6" s="25"/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5"/>
      <c r="N6" s="23">
        <v>0.995821</v>
      </c>
      <c r="O6" s="24">
        <v>1</v>
      </c>
      <c r="P6" s="23">
        <v>0.979403</v>
      </c>
      <c r="Q6" s="23">
        <v>0.995821</v>
      </c>
      <c r="R6" s="24">
        <v>1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>
      <c r="A7" s="20" t="s">
        <v>13</v>
      </c>
      <c r="B7" s="24">
        <v>0.002938</v>
      </c>
      <c r="C7" s="23">
        <v>0.098877</v>
      </c>
      <c r="D7" s="23">
        <v>0.138093</v>
      </c>
      <c r="E7" s="23">
        <v>0.062465</v>
      </c>
      <c r="F7" s="23">
        <v>0.076698</v>
      </c>
      <c r="G7" s="25"/>
      <c r="H7" s="23">
        <v>0.493855</v>
      </c>
      <c r="I7" s="23">
        <v>0.583388</v>
      </c>
      <c r="J7" s="23">
        <v>0.61956</v>
      </c>
      <c r="K7" s="24">
        <v>0.350699</v>
      </c>
      <c r="L7" s="23">
        <v>0.400933</v>
      </c>
      <c r="M7" s="25"/>
      <c r="N7" s="24">
        <v>0.995503</v>
      </c>
      <c r="O7" s="23">
        <v>0.85534</v>
      </c>
      <c r="P7" s="23">
        <v>0.857742</v>
      </c>
      <c r="Q7" s="23">
        <v>0.917048</v>
      </c>
      <c r="R7" s="23">
        <v>0.905414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20" t="s">
        <v>14</v>
      </c>
      <c r="B8" s="23">
        <v>0.02226</v>
      </c>
      <c r="C8" s="23">
        <v>0.008853</v>
      </c>
      <c r="D8" s="23">
        <v>0.091374</v>
      </c>
      <c r="E8" s="24">
        <v>0.008622</v>
      </c>
      <c r="F8" s="23">
        <v>0.011209</v>
      </c>
      <c r="G8" s="25"/>
      <c r="H8" s="23">
        <v>0.559476</v>
      </c>
      <c r="I8" s="23">
        <v>0.300991</v>
      </c>
      <c r="J8" s="24">
        <v>0</v>
      </c>
      <c r="K8" s="24">
        <v>0</v>
      </c>
      <c r="L8" s="24">
        <v>0</v>
      </c>
      <c r="M8" s="25"/>
      <c r="N8" s="23">
        <v>0.968285</v>
      </c>
      <c r="O8" s="24">
        <v>0.990372</v>
      </c>
      <c r="P8" s="23">
        <v>0.896943</v>
      </c>
      <c r="Q8" s="23">
        <v>0.984342</v>
      </c>
      <c r="R8" s="23">
        <v>0.986955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20" t="s">
        <v>15</v>
      </c>
      <c r="B9" s="23">
        <v>0.096019</v>
      </c>
      <c r="C9" s="23">
        <v>0.102892</v>
      </c>
      <c r="D9" s="24">
        <v>0.057388</v>
      </c>
      <c r="E9" s="23">
        <v>0.127945</v>
      </c>
      <c r="F9" s="23">
        <v>0.06755</v>
      </c>
      <c r="G9" s="25"/>
      <c r="H9" s="23">
        <v>0.220478</v>
      </c>
      <c r="I9" s="23">
        <v>0.687894</v>
      </c>
      <c r="J9" s="24">
        <v>0</v>
      </c>
      <c r="K9" s="23">
        <v>0.662348</v>
      </c>
      <c r="L9" s="23">
        <v>0.424467</v>
      </c>
      <c r="M9" s="25"/>
      <c r="N9" s="23">
        <v>0.895871</v>
      </c>
      <c r="O9" s="23">
        <v>0.889248</v>
      </c>
      <c r="P9" s="24">
        <v>0.942577</v>
      </c>
      <c r="Q9" s="23">
        <v>0.873524</v>
      </c>
      <c r="R9" s="23">
        <v>0.905285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20" t="s">
        <v>16</v>
      </c>
      <c r="B10" s="23">
        <v>0.019483</v>
      </c>
      <c r="C10" s="23">
        <v>0.027932</v>
      </c>
      <c r="D10" s="23">
        <v>0.088047</v>
      </c>
      <c r="E10" s="24">
        <v>0.01252</v>
      </c>
      <c r="F10" s="23">
        <v>0.096316</v>
      </c>
      <c r="G10" s="25"/>
      <c r="H10" s="23">
        <v>0.094635</v>
      </c>
      <c r="I10" s="23">
        <v>0.311995</v>
      </c>
      <c r="J10" s="24">
        <v>0</v>
      </c>
      <c r="K10" s="23">
        <v>0.25077</v>
      </c>
      <c r="L10" s="23">
        <v>0.873145</v>
      </c>
      <c r="M10" s="25"/>
      <c r="N10" s="23">
        <v>0.984822</v>
      </c>
      <c r="O10" s="23">
        <v>0.993228</v>
      </c>
      <c r="P10" s="23">
        <v>0.921237</v>
      </c>
      <c r="Q10" s="24">
        <v>0.998265</v>
      </c>
      <c r="R10" s="23">
        <v>0.89445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20" t="s">
        <v>17</v>
      </c>
      <c r="B11" s="24">
        <v>0.030329</v>
      </c>
      <c r="C11" s="23">
        <v>0.043731</v>
      </c>
      <c r="D11" s="23">
        <v>0.066434</v>
      </c>
      <c r="E11" s="23">
        <v>0.067318</v>
      </c>
      <c r="F11" s="23">
        <v>0.087265</v>
      </c>
      <c r="G11" s="25"/>
      <c r="H11" s="24">
        <v>0</v>
      </c>
      <c r="I11" s="23">
        <v>0.238872</v>
      </c>
      <c r="J11" s="24">
        <v>0</v>
      </c>
      <c r="K11" s="23">
        <v>0.803979</v>
      </c>
      <c r="L11" s="23">
        <v>0.682308</v>
      </c>
      <c r="M11" s="25"/>
      <c r="N11" s="24">
        <v>0.961898</v>
      </c>
      <c r="O11" s="23">
        <v>0.944525</v>
      </c>
      <c r="P11" s="23">
        <v>0.852513</v>
      </c>
      <c r="Q11" s="23">
        <v>0.904807</v>
      </c>
      <c r="R11" s="23">
        <v>0.901268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20" t="s">
        <v>18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5"/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5"/>
      <c r="N12" s="24">
        <v>1</v>
      </c>
      <c r="O12" s="24">
        <v>1</v>
      </c>
      <c r="P12" s="24">
        <v>1</v>
      </c>
      <c r="Q12" s="24">
        <v>1</v>
      </c>
      <c r="R12" s="24">
        <v>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20" t="s">
        <v>19</v>
      </c>
      <c r="B13" s="23">
        <v>0.034783</v>
      </c>
      <c r="C13" s="24">
        <v>0</v>
      </c>
      <c r="D13" s="23">
        <v>0.028696</v>
      </c>
      <c r="E13" s="23">
        <v>0.054493</v>
      </c>
      <c r="F13" s="23">
        <v>0.028696</v>
      </c>
      <c r="G13" s="25"/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5"/>
      <c r="N13" s="23">
        <v>0.997665</v>
      </c>
      <c r="O13" s="24">
        <v>1</v>
      </c>
      <c r="P13" s="23">
        <v>0.999315</v>
      </c>
      <c r="Q13" s="23">
        <v>0.994079</v>
      </c>
      <c r="R13" s="23">
        <v>0.998373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20" t="s">
        <v>20</v>
      </c>
      <c r="B14" s="23">
        <v>0.001965</v>
      </c>
      <c r="C14" s="24">
        <v>0</v>
      </c>
      <c r="D14" s="23">
        <v>0.038149</v>
      </c>
      <c r="E14" s="23">
        <v>0.035303</v>
      </c>
      <c r="F14" s="23">
        <v>0.040995</v>
      </c>
      <c r="G14" s="25"/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5"/>
      <c r="N14" s="23">
        <v>0.998214</v>
      </c>
      <c r="O14" s="24">
        <v>1</v>
      </c>
      <c r="P14" s="23">
        <v>0.965319</v>
      </c>
      <c r="Q14" s="23">
        <v>0.967906</v>
      </c>
      <c r="R14" s="23">
        <v>0.968791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>
      <c r="A15" s="20" t="s">
        <v>21</v>
      </c>
      <c r="B15" s="23">
        <v>0.010988</v>
      </c>
      <c r="C15" s="23">
        <v>0.022135</v>
      </c>
      <c r="D15" s="23">
        <v>0.022188</v>
      </c>
      <c r="E15" s="23">
        <v>0.019841</v>
      </c>
      <c r="F15" s="24">
        <v>0.003561</v>
      </c>
      <c r="G15" s="25"/>
      <c r="H15" s="23">
        <v>0.496628</v>
      </c>
      <c r="I15" s="23">
        <v>0.245681</v>
      </c>
      <c r="J15" s="23">
        <v>0.241177</v>
      </c>
      <c r="K15" s="23">
        <v>0.345104</v>
      </c>
      <c r="L15" s="24">
        <v>0.050878</v>
      </c>
      <c r="M15" s="25"/>
      <c r="N15" s="24">
        <v>0.99585</v>
      </c>
      <c r="O15" s="23">
        <v>0.989036</v>
      </c>
      <c r="P15" s="23">
        <v>0.989225</v>
      </c>
      <c r="Q15" s="23">
        <v>0.989569</v>
      </c>
      <c r="R15" s="23">
        <v>0.991834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>
      <c r="A16" s="20" t="s">
        <v>22</v>
      </c>
      <c r="B16" s="23">
        <v>0.179195</v>
      </c>
      <c r="C16" s="23">
        <v>0.067384</v>
      </c>
      <c r="D16" s="24">
        <v>0.040967</v>
      </c>
      <c r="E16" s="23">
        <v>0.097181</v>
      </c>
      <c r="F16" s="23">
        <v>0.092913</v>
      </c>
      <c r="G16" s="25"/>
      <c r="H16" s="23">
        <v>0.76678</v>
      </c>
      <c r="I16" s="23">
        <v>0.947204</v>
      </c>
      <c r="J16" s="24">
        <v>0.527522</v>
      </c>
      <c r="K16" s="23">
        <v>0.736972</v>
      </c>
      <c r="L16" s="23">
        <v>1.089422</v>
      </c>
      <c r="M16" s="25"/>
      <c r="N16" s="23">
        <v>0.827748</v>
      </c>
      <c r="O16" s="23">
        <v>0.906623</v>
      </c>
      <c r="P16" s="24">
        <v>0.972181</v>
      </c>
      <c r="Q16" s="23">
        <v>0.886358</v>
      </c>
      <c r="R16" s="23">
        <v>0.915438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>
      <c r="A17" s="20" t="s">
        <v>23</v>
      </c>
      <c r="B17" s="23">
        <v>0.075197</v>
      </c>
      <c r="C17" s="23">
        <v>0.084058</v>
      </c>
      <c r="D17" s="23">
        <v>0.081228</v>
      </c>
      <c r="E17" s="24">
        <v>0.050251</v>
      </c>
      <c r="F17" s="23">
        <v>0.134071</v>
      </c>
      <c r="G17" s="25"/>
      <c r="H17" s="23">
        <v>0.515108</v>
      </c>
      <c r="I17" s="23">
        <v>0.580386</v>
      </c>
      <c r="J17" s="23">
        <v>0.766439</v>
      </c>
      <c r="K17" s="24">
        <v>0.42615</v>
      </c>
      <c r="L17" s="23">
        <v>0.699812</v>
      </c>
      <c r="M17" s="25"/>
      <c r="N17" s="23">
        <v>0.900085</v>
      </c>
      <c r="O17" s="23">
        <v>0.865935</v>
      </c>
      <c r="P17" s="23">
        <v>0.849871</v>
      </c>
      <c r="Q17" s="24">
        <v>0.935012</v>
      </c>
      <c r="R17" s="23">
        <v>0.840212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>
      <c r="A18" s="20" t="s">
        <v>24</v>
      </c>
      <c r="B18" s="23">
        <v>0.037624</v>
      </c>
      <c r="C18" s="23">
        <v>0.03748</v>
      </c>
      <c r="D18" s="23">
        <v>0.109731</v>
      </c>
      <c r="E18" s="23">
        <v>0.059724</v>
      </c>
      <c r="F18" s="24">
        <v>0.031665</v>
      </c>
      <c r="G18" s="25"/>
      <c r="H18" s="23">
        <v>0.746964</v>
      </c>
      <c r="I18" s="23">
        <v>0.577401</v>
      </c>
      <c r="J18" s="23">
        <v>0.579659</v>
      </c>
      <c r="K18" s="23">
        <v>0.757604</v>
      </c>
      <c r="L18" s="24">
        <v>0.267487</v>
      </c>
      <c r="M18" s="25"/>
      <c r="N18" s="23">
        <v>0.963171</v>
      </c>
      <c r="O18" s="24">
        <v>0.976863</v>
      </c>
      <c r="P18" s="23">
        <v>0.886597</v>
      </c>
      <c r="Q18" s="23">
        <v>0.964062</v>
      </c>
      <c r="R18" s="23">
        <v>0.971074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>
      <c r="A19" s="20" t="s">
        <v>25</v>
      </c>
      <c r="B19" s="24">
        <v>0.001473</v>
      </c>
      <c r="C19" s="23">
        <v>0.125007</v>
      </c>
      <c r="D19" s="23">
        <v>0.073635</v>
      </c>
      <c r="E19" s="23">
        <v>0.006641</v>
      </c>
      <c r="F19" s="23">
        <v>0.024921</v>
      </c>
      <c r="G19" s="25"/>
      <c r="H19" s="23">
        <v>0.677083</v>
      </c>
      <c r="I19" s="23">
        <v>0.789949</v>
      </c>
      <c r="J19" s="24">
        <v>0</v>
      </c>
      <c r="K19" s="23">
        <v>0.375952</v>
      </c>
      <c r="L19" s="23">
        <v>0.341101</v>
      </c>
      <c r="M19" s="25"/>
      <c r="N19" s="24">
        <v>0.995001</v>
      </c>
      <c r="O19" s="23">
        <v>0.858731</v>
      </c>
      <c r="P19" s="23">
        <v>0.917424</v>
      </c>
      <c r="Q19" s="23">
        <v>0.990781</v>
      </c>
      <c r="R19" s="23">
        <v>0.983293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>
      <c r="A20" s="20" t="s">
        <v>26</v>
      </c>
      <c r="B20" s="24">
        <v>0.028668</v>
      </c>
      <c r="C20" s="23">
        <v>0.061926</v>
      </c>
      <c r="D20" s="23">
        <v>0.081751</v>
      </c>
      <c r="E20" s="23">
        <v>0.054661</v>
      </c>
      <c r="F20" s="23">
        <v>0.051343</v>
      </c>
      <c r="G20" s="25"/>
      <c r="H20" s="23">
        <v>0.61902</v>
      </c>
      <c r="I20" s="23">
        <v>0.92152</v>
      </c>
      <c r="J20" s="23">
        <v>0.739457</v>
      </c>
      <c r="K20" s="23">
        <v>0.825977</v>
      </c>
      <c r="L20" s="24">
        <v>0</v>
      </c>
      <c r="M20" s="25"/>
      <c r="N20" s="24">
        <v>0.9855</v>
      </c>
      <c r="O20" s="23">
        <v>0.923862</v>
      </c>
      <c r="P20" s="23">
        <v>0.896559</v>
      </c>
      <c r="Q20" s="23">
        <v>0.964634</v>
      </c>
      <c r="R20" s="23">
        <v>0.98499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>
      <c r="A21" s="20" t="s">
        <v>27</v>
      </c>
      <c r="B21" s="23">
        <v>0.022919</v>
      </c>
      <c r="C21" s="24">
        <v>0.013904</v>
      </c>
      <c r="D21" s="23">
        <v>0.059143</v>
      </c>
      <c r="E21" s="23">
        <v>0.075605</v>
      </c>
      <c r="F21" s="23">
        <v>0.069547</v>
      </c>
      <c r="G21" s="25"/>
      <c r="H21" s="23">
        <v>0.834371</v>
      </c>
      <c r="I21" s="24">
        <v>0.132437</v>
      </c>
      <c r="J21" s="23">
        <v>0.874231</v>
      </c>
      <c r="K21" s="23">
        <v>0.969877</v>
      </c>
      <c r="L21" s="23">
        <v>0.708698</v>
      </c>
      <c r="M21" s="25"/>
      <c r="N21" s="23">
        <v>0.971258</v>
      </c>
      <c r="O21" s="23">
        <v>0.961269</v>
      </c>
      <c r="P21" s="23">
        <v>0.894164</v>
      </c>
      <c r="Q21" s="23">
        <v>0.935766</v>
      </c>
      <c r="R21" s="24">
        <v>0.977672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>
      <c r="A22" s="20" t="s">
        <v>28</v>
      </c>
      <c r="B22" s="23">
        <v>0.040259</v>
      </c>
      <c r="C22" s="23">
        <v>0.053765</v>
      </c>
      <c r="D22" s="23">
        <v>0.070246</v>
      </c>
      <c r="E22" s="23">
        <v>0.081053</v>
      </c>
      <c r="F22" s="24">
        <v>0.008553</v>
      </c>
      <c r="G22" s="25"/>
      <c r="H22" s="23">
        <v>0.740859</v>
      </c>
      <c r="I22" s="23">
        <v>0.355087</v>
      </c>
      <c r="J22" s="24">
        <v>0.353139</v>
      </c>
      <c r="K22" s="23">
        <v>0.573611</v>
      </c>
      <c r="L22" s="23">
        <v>0.543053</v>
      </c>
      <c r="M22" s="25"/>
      <c r="N22" s="23">
        <v>0.909498</v>
      </c>
      <c r="O22" s="23">
        <v>0.901539</v>
      </c>
      <c r="P22" s="23">
        <v>0.910532</v>
      </c>
      <c r="Q22" s="23">
        <v>0.879802</v>
      </c>
      <c r="R22" s="24">
        <v>0.96231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>
      <c r="A23" s="20" t="s">
        <v>29</v>
      </c>
      <c r="B23" s="23">
        <v>0.048997</v>
      </c>
      <c r="C23" s="23">
        <v>0.075239</v>
      </c>
      <c r="D23" s="23">
        <v>0.101547</v>
      </c>
      <c r="E23" s="24">
        <v>0.022898</v>
      </c>
      <c r="F23" s="23">
        <v>0.057301</v>
      </c>
      <c r="G23" s="25"/>
      <c r="H23" s="23">
        <v>0.667253</v>
      </c>
      <c r="I23" s="23">
        <v>0.671724</v>
      </c>
      <c r="J23" s="23">
        <v>0.596747</v>
      </c>
      <c r="K23" s="24">
        <v>0.307971</v>
      </c>
      <c r="L23" s="23">
        <v>0.871961</v>
      </c>
      <c r="M23" s="25"/>
      <c r="N23" s="23">
        <v>0.928383</v>
      </c>
      <c r="O23" s="23">
        <v>0.88737</v>
      </c>
      <c r="P23" s="23">
        <v>0.914656</v>
      </c>
      <c r="Q23" s="24">
        <v>0.984929</v>
      </c>
      <c r="R23" s="23">
        <v>0.894228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>
      <c r="A24" s="20" t="s">
        <v>30</v>
      </c>
      <c r="B24" s="24">
        <v>0.01134</v>
      </c>
      <c r="C24" s="23">
        <v>0.018709</v>
      </c>
      <c r="D24" s="23">
        <v>0.025113</v>
      </c>
      <c r="E24" s="23">
        <v>0.034625</v>
      </c>
      <c r="F24" s="23">
        <v>0.028361</v>
      </c>
      <c r="G24" s="25"/>
      <c r="H24" s="23">
        <v>0.261944</v>
      </c>
      <c r="I24" s="23">
        <v>0.600097</v>
      </c>
      <c r="J24" s="23">
        <v>0.694832</v>
      </c>
      <c r="K24" s="24">
        <v>0</v>
      </c>
      <c r="L24" s="23">
        <v>0.104903</v>
      </c>
      <c r="M24" s="25"/>
      <c r="N24" s="24">
        <v>0.994443</v>
      </c>
      <c r="O24" s="23">
        <v>0.984147</v>
      </c>
      <c r="P24" s="23">
        <v>0.98189</v>
      </c>
      <c r="Q24" s="23">
        <v>0.94201</v>
      </c>
      <c r="R24" s="23">
        <v>0.989844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>
      <c r="A25" s="20" t="s">
        <v>31</v>
      </c>
      <c r="B25" s="23">
        <v>0.022468</v>
      </c>
      <c r="C25" s="23">
        <v>0.044222</v>
      </c>
      <c r="D25" s="23">
        <v>0.099946</v>
      </c>
      <c r="E25" s="24">
        <v>0.022041</v>
      </c>
      <c r="F25" s="23">
        <v>0.026949</v>
      </c>
      <c r="G25" s="25"/>
      <c r="H25" s="23">
        <v>0.4735</v>
      </c>
      <c r="I25" s="23">
        <v>0.974653</v>
      </c>
      <c r="J25" s="23">
        <v>0.549171</v>
      </c>
      <c r="K25" s="23">
        <v>0.940539</v>
      </c>
      <c r="L25" s="24">
        <v>0.421835</v>
      </c>
      <c r="M25" s="25"/>
      <c r="N25" s="24">
        <v>0.968855</v>
      </c>
      <c r="O25" s="23">
        <v>0.885239</v>
      </c>
      <c r="P25" s="23">
        <v>0.868189</v>
      </c>
      <c r="Q25" s="23">
        <v>0.951346</v>
      </c>
      <c r="R25" s="23">
        <v>0.924707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>
      <c r="A26" s="20" t="s">
        <v>32</v>
      </c>
      <c r="B26" s="23">
        <v>0.107664</v>
      </c>
      <c r="C26" s="23">
        <v>0.078869</v>
      </c>
      <c r="D26" s="24">
        <v>0.050596</v>
      </c>
      <c r="E26" s="23">
        <v>0.127603</v>
      </c>
      <c r="F26" s="23">
        <v>0.078842</v>
      </c>
      <c r="G26" s="25"/>
      <c r="H26" s="23">
        <v>0.716631</v>
      </c>
      <c r="I26" s="24">
        <v>0.482683</v>
      </c>
      <c r="J26" s="23">
        <v>1.051659</v>
      </c>
      <c r="K26" s="23">
        <v>0.863632</v>
      </c>
      <c r="L26" s="23">
        <v>0.710572</v>
      </c>
      <c r="M26" s="25"/>
      <c r="N26" s="23">
        <v>0.872289</v>
      </c>
      <c r="O26" s="23">
        <v>0.875192</v>
      </c>
      <c r="P26" s="24">
        <v>0.949635</v>
      </c>
      <c r="Q26" s="23">
        <v>0.785922</v>
      </c>
      <c r="R26" s="23">
        <v>0.813829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>
      <c r="A27" s="20" t="s">
        <v>33</v>
      </c>
      <c r="B27" s="23">
        <v>0.053947</v>
      </c>
      <c r="C27" s="23">
        <v>0.049119</v>
      </c>
      <c r="D27" s="23">
        <v>0.099475</v>
      </c>
      <c r="E27" s="23">
        <v>0.043114</v>
      </c>
      <c r="F27" s="24">
        <v>0.008851</v>
      </c>
      <c r="G27" s="25"/>
      <c r="H27" s="23">
        <v>0.426201</v>
      </c>
      <c r="I27" s="23">
        <v>0.284109</v>
      </c>
      <c r="J27" s="23">
        <v>0.353455</v>
      </c>
      <c r="K27" s="24">
        <v>0.184738</v>
      </c>
      <c r="L27" s="23">
        <v>0.189161</v>
      </c>
      <c r="M27" s="25"/>
      <c r="N27" s="23">
        <v>0.89783</v>
      </c>
      <c r="O27" s="23">
        <v>0.926288</v>
      </c>
      <c r="P27" s="23">
        <v>0.888076</v>
      </c>
      <c r="Q27" s="23">
        <v>0.942725</v>
      </c>
      <c r="R27" s="24">
        <v>0.984599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>
      <c r="A28" s="20" t="s">
        <v>34</v>
      </c>
      <c r="B28" s="24">
        <v>0.037754</v>
      </c>
      <c r="C28" s="23">
        <v>0.091891</v>
      </c>
      <c r="D28" s="23">
        <v>0.039655</v>
      </c>
      <c r="E28" s="23">
        <v>0.056039</v>
      </c>
      <c r="F28" s="23">
        <v>0.103857</v>
      </c>
      <c r="G28" s="25"/>
      <c r="H28" s="23">
        <v>0.780794</v>
      </c>
      <c r="I28" s="23">
        <v>0.74847</v>
      </c>
      <c r="J28" s="23">
        <v>0.79035</v>
      </c>
      <c r="K28" s="23">
        <v>0.696541</v>
      </c>
      <c r="L28" s="24">
        <v>0.598203</v>
      </c>
      <c r="M28" s="25"/>
      <c r="N28" s="23">
        <v>0.960224</v>
      </c>
      <c r="O28" s="23">
        <v>0.911625</v>
      </c>
      <c r="P28" s="24">
        <v>0.972002</v>
      </c>
      <c r="Q28" s="23">
        <v>0.933147</v>
      </c>
      <c r="R28" s="23">
        <v>0.924895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>
      <c r="A29" s="20" t="s">
        <v>35</v>
      </c>
      <c r="B29" s="24">
        <v>0.01785</v>
      </c>
      <c r="C29" s="23">
        <v>0.028189</v>
      </c>
      <c r="D29" s="23">
        <v>0.017954</v>
      </c>
      <c r="E29" s="23">
        <v>0.026945</v>
      </c>
      <c r="F29" s="23">
        <v>0.025271</v>
      </c>
      <c r="G29" s="25"/>
      <c r="H29" s="23">
        <v>0.65575</v>
      </c>
      <c r="I29" s="24">
        <v>0.52537</v>
      </c>
      <c r="J29" s="23">
        <v>0.655703</v>
      </c>
      <c r="K29" s="23">
        <v>0.838204</v>
      </c>
      <c r="L29" s="23">
        <v>0.72572</v>
      </c>
      <c r="M29" s="25"/>
      <c r="N29" s="24">
        <v>0.968492</v>
      </c>
      <c r="O29" s="23">
        <v>0.956347</v>
      </c>
      <c r="P29" s="23">
        <v>0.96641</v>
      </c>
      <c r="Q29" s="23">
        <v>0.921912</v>
      </c>
      <c r="R29" s="23">
        <v>0.963519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19"/>
      <c r="B30" s="19"/>
      <c r="C30" s="19"/>
      <c r="D30" s="19"/>
      <c r="E30" s="19"/>
      <c r="F30" s="19"/>
      <c r="G30" s="19"/>
      <c r="H30" s="26"/>
      <c r="I30" s="26"/>
      <c r="J30" s="26"/>
      <c r="K30" s="26"/>
      <c r="L30" s="26"/>
      <c r="M30" s="19"/>
      <c r="N30" s="26"/>
      <c r="O30" s="26"/>
      <c r="P30" s="26"/>
      <c r="Q30" s="26"/>
      <c r="R30" s="26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ht="15.6" customHeight="1" spans="1:29">
      <c r="A33" s="26"/>
      <c r="B33" s="26" t="s">
        <v>4</v>
      </c>
      <c r="C33" s="26" t="s">
        <v>48</v>
      </c>
      <c r="D33" s="26" t="s">
        <v>49</v>
      </c>
      <c r="E33" s="26" t="s">
        <v>50</v>
      </c>
      <c r="F33" s="26" t="s">
        <v>51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>
      <c r="A34" s="26" t="s">
        <v>36</v>
      </c>
      <c r="B34" s="26" t="s">
        <v>52</v>
      </c>
      <c r="C34" s="26" t="s">
        <v>44</v>
      </c>
      <c r="D34" s="26" t="s">
        <v>53</v>
      </c>
      <c r="E34" s="26" t="s">
        <v>54</v>
      </c>
      <c r="F34" s="26" t="s">
        <v>44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>
      <c r="A35" s="26" t="s">
        <v>40</v>
      </c>
      <c r="B35" s="26" t="s">
        <v>55</v>
      </c>
      <c r="C35" s="26" t="s">
        <v>52</v>
      </c>
      <c r="D35" s="26" t="s">
        <v>56</v>
      </c>
      <c r="E35" s="26" t="s">
        <v>57</v>
      </c>
      <c r="F35" s="26" t="s">
        <v>57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>
      <c r="A36" s="26" t="s">
        <v>45</v>
      </c>
      <c r="B36" s="26" t="s">
        <v>42</v>
      </c>
      <c r="C36" s="26" t="s">
        <v>55</v>
      </c>
      <c r="D36" s="26" t="s">
        <v>58</v>
      </c>
      <c r="E36" s="26" t="s">
        <v>53</v>
      </c>
      <c r="F36" s="26" t="s">
        <v>54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>
      <c r="A38" s="28"/>
      <c r="B38" s="29"/>
      <c r="C38" s="29"/>
      <c r="D38" s="29"/>
      <c r="E38" s="29"/>
      <c r="F38" s="29"/>
      <c r="G38" s="27"/>
      <c r="H38" s="29"/>
      <c r="I38" s="29"/>
      <c r="J38" s="29"/>
      <c r="K38" s="29"/>
      <c r="L38" s="29"/>
      <c r="M38" s="27"/>
      <c r="N38" s="29"/>
      <c r="O38" s="29"/>
      <c r="P38" s="29"/>
      <c r="Q38" s="29"/>
      <c r="R38" s="2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</sheetData>
  <mergeCells count="3">
    <mergeCell ref="B1:F1"/>
    <mergeCell ref="H1:L1"/>
    <mergeCell ref="N1:R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workbookViewId="0">
      <selection activeCell="P18" sqref="P18"/>
    </sheetView>
  </sheetViews>
  <sheetFormatPr defaultColWidth="8.88888888888889" defaultRowHeight="15.6"/>
  <cols>
    <col min="1" max="1" width="50.5555555555556" style="1" customWidth="1"/>
    <col min="2" max="6" width="10.6666666666667" style="1" customWidth="1"/>
    <col min="7" max="7" width="11.8888888888889" style="1" customWidth="1"/>
    <col min="8" max="8" width="13.1111111111111" style="1" customWidth="1"/>
    <col min="9" max="9" width="10.6666666666667" style="1" customWidth="1"/>
    <col min="10" max="14" width="9.44444444444444" style="1" customWidth="1"/>
    <col min="15" max="16384" width="8.88888888888889" style="1" customWidth="1"/>
  </cols>
  <sheetData>
    <row r="1" s="1" customFormat="1" spans="1:14">
      <c r="A1" s="2" t="s">
        <v>59</v>
      </c>
    </row>
    <row r="2" s="1" customFormat="1" spans="1:14">
      <c r="A2" s="3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3" t="s">
        <v>73</v>
      </c>
    </row>
    <row r="3" s="1" customFormat="1" spans="1:14">
      <c r="A3" s="4" t="s">
        <v>74</v>
      </c>
      <c r="B3" s="5">
        <v>913.4</v>
      </c>
      <c r="C3" s="5">
        <v>1282.2</v>
      </c>
      <c r="D3" s="5">
        <v>1685</v>
      </c>
      <c r="E3" s="5">
        <v>1310.4</v>
      </c>
      <c r="F3" s="5">
        <v>1917</v>
      </c>
      <c r="G3" s="5">
        <v>2921</v>
      </c>
      <c r="H3" s="5">
        <v>1448.8</v>
      </c>
      <c r="I3" s="5">
        <v>2160.8</v>
      </c>
      <c r="J3" s="5">
        <v>3100</v>
      </c>
      <c r="K3" s="5">
        <v>2043.4</v>
      </c>
      <c r="L3" s="5">
        <v>2866.4</v>
      </c>
      <c r="M3" s="5">
        <v>4022.1</v>
      </c>
      <c r="N3" s="5">
        <f t="shared" ref="N3:N7" si="0">AVERAGE(B3:M3)</f>
        <v>2139.20833333333</v>
      </c>
    </row>
    <row r="4" s="1" customFormat="1" spans="1:14">
      <c r="A4" s="4" t="s">
        <v>75</v>
      </c>
      <c r="B4" s="5">
        <v>939.8</v>
      </c>
      <c r="C4" s="5">
        <v>1351</v>
      </c>
      <c r="D4" s="5">
        <v>1826.2</v>
      </c>
      <c r="E4" s="5">
        <v>1242.4</v>
      </c>
      <c r="F4" s="5">
        <v>1903.6</v>
      </c>
      <c r="G4" s="5">
        <v>2688</v>
      </c>
      <c r="H4" s="5">
        <v>1412.4</v>
      </c>
      <c r="I4" s="5">
        <v>2068.2</v>
      </c>
      <c r="J4" s="5">
        <v>2856</v>
      </c>
      <c r="K4" s="5">
        <v>1898.8</v>
      </c>
      <c r="L4" s="5">
        <v>2614.8</v>
      </c>
      <c r="M4" s="5">
        <v>3487</v>
      </c>
      <c r="N4" s="5">
        <f t="shared" si="0"/>
        <v>2024.01666666667</v>
      </c>
    </row>
    <row r="5" s="1" customFormat="1" spans="1:14">
      <c r="A5" s="4" t="s">
        <v>76</v>
      </c>
      <c r="B5" s="5">
        <v>751</v>
      </c>
      <c r="C5" s="5">
        <v>1206.2</v>
      </c>
      <c r="D5" s="5">
        <v>1671.6</v>
      </c>
      <c r="E5" s="5">
        <v>907.4</v>
      </c>
      <c r="F5" s="5">
        <v>1619.6</v>
      </c>
      <c r="G5" s="5">
        <v>2430.6</v>
      </c>
      <c r="H5" s="5">
        <v>959.8</v>
      </c>
      <c r="I5" s="5">
        <v>1620.6</v>
      </c>
      <c r="J5" s="5">
        <v>2482.8</v>
      </c>
      <c r="K5" s="5">
        <v>1229</v>
      </c>
      <c r="L5" s="5">
        <v>1796.8</v>
      </c>
      <c r="M5" s="5">
        <v>2657.6</v>
      </c>
      <c r="N5" s="5">
        <f t="shared" si="0"/>
        <v>1611.08333333333</v>
      </c>
    </row>
    <row r="6" s="1" customFormat="1" spans="1:14">
      <c r="A6" s="4" t="s">
        <v>77</v>
      </c>
      <c r="B6" s="6">
        <v>465.2</v>
      </c>
      <c r="C6" s="6">
        <v>677.6</v>
      </c>
      <c r="D6" s="5">
        <v>1048.4</v>
      </c>
      <c r="E6" s="6">
        <v>556.6</v>
      </c>
      <c r="F6" s="5">
        <v>889</v>
      </c>
      <c r="G6" s="5">
        <v>1439.2</v>
      </c>
      <c r="H6" s="6">
        <v>593.2</v>
      </c>
      <c r="I6" s="5">
        <v>934.6</v>
      </c>
      <c r="J6" s="5">
        <v>1425.6</v>
      </c>
      <c r="K6" s="6">
        <v>797.2</v>
      </c>
      <c r="L6" s="5">
        <v>1181.2</v>
      </c>
      <c r="M6" s="5">
        <v>1586</v>
      </c>
      <c r="N6" s="5">
        <f t="shared" si="0"/>
        <v>966.15</v>
      </c>
    </row>
    <row r="7" s="1" customFormat="1" spans="1:14">
      <c r="A7" s="7" t="s">
        <v>78</v>
      </c>
      <c r="B7" s="5">
        <f t="shared" ref="B7:H7" si="1">AVERAGE(B19:B23)</f>
        <v>483.4</v>
      </c>
      <c r="C7" s="5">
        <f t="shared" si="1"/>
        <v>685.2</v>
      </c>
      <c r="D7" s="6">
        <f t="shared" si="1"/>
        <v>901.6</v>
      </c>
      <c r="E7" s="5">
        <f t="shared" si="1"/>
        <v>562.8</v>
      </c>
      <c r="F7" s="6">
        <f t="shared" si="1"/>
        <v>752.2</v>
      </c>
      <c r="G7" s="6">
        <f t="shared" si="1"/>
        <v>1050</v>
      </c>
      <c r="H7" s="5">
        <f t="shared" si="1"/>
        <v>605.2</v>
      </c>
      <c r="I7" s="8">
        <v>782.6</v>
      </c>
      <c r="J7" s="6">
        <v>1039</v>
      </c>
      <c r="K7" s="5">
        <v>918.8</v>
      </c>
      <c r="L7" s="9">
        <v>981.6</v>
      </c>
      <c r="M7" s="6">
        <v>1150.6</v>
      </c>
      <c r="N7" s="6">
        <f t="shared" si="0"/>
        <v>826.083333333333</v>
      </c>
    </row>
    <row r="8" s="1" customFormat="1" spans="1:14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="1" customFormat="1" spans="1:14">
      <c r="A9" s="2"/>
      <c r="B9" s="2"/>
      <c r="C9" s="2"/>
      <c r="D9" s="2"/>
      <c r="E9" s="2"/>
      <c r="F9" s="2"/>
      <c r="G9" s="5"/>
      <c r="H9" s="5"/>
      <c r="I9" s="5"/>
      <c r="J9" s="5"/>
      <c r="K9" s="5"/>
      <c r="L9" s="5"/>
      <c r="M9" s="5"/>
      <c r="N9" s="5"/>
    </row>
    <row r="10" s="1" customFormat="1" spans="1:14">
      <c r="A10" s="2" t="s">
        <v>79</v>
      </c>
    </row>
    <row r="11" s="1" customFormat="1" spans="1:14">
      <c r="A11" s="10" t="s">
        <v>60</v>
      </c>
      <c r="B11" s="10" t="s">
        <v>80</v>
      </c>
      <c r="C11" s="10" t="s">
        <v>81</v>
      </c>
      <c r="D11" s="10" t="s">
        <v>82</v>
      </c>
      <c r="E11" s="10" t="s">
        <v>83</v>
      </c>
      <c r="F11" s="10" t="s">
        <v>84</v>
      </c>
      <c r="G11" s="10" t="s">
        <v>85</v>
      </c>
      <c r="H11" s="10" t="s">
        <v>86</v>
      </c>
      <c r="I11" s="10" t="s">
        <v>87</v>
      </c>
      <c r="J11" s="10" t="s">
        <v>88</v>
      </c>
      <c r="K11" s="10" t="s">
        <v>89</v>
      </c>
      <c r="L11" s="10" t="s">
        <v>90</v>
      </c>
      <c r="M11" s="10" t="s">
        <v>91</v>
      </c>
      <c r="N11" s="10" t="s">
        <v>73</v>
      </c>
    </row>
    <row r="12" s="1" customFormat="1" spans="1:14">
      <c r="A12" s="4" t="s">
        <v>74</v>
      </c>
      <c r="B12" s="10" t="s">
        <v>92</v>
      </c>
      <c r="C12" s="10" t="s">
        <v>93</v>
      </c>
      <c r="D12" s="10" t="s">
        <v>94</v>
      </c>
      <c r="E12" s="10" t="s">
        <v>95</v>
      </c>
      <c r="F12" s="10" t="s">
        <v>96</v>
      </c>
      <c r="G12" s="10" t="s">
        <v>97</v>
      </c>
      <c r="H12" s="10" t="s">
        <v>98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104</v>
      </c>
    </row>
    <row r="13" s="1" customFormat="1" spans="1:14">
      <c r="A13" s="4" t="s">
        <v>75</v>
      </c>
      <c r="B13" s="10" t="s">
        <v>105</v>
      </c>
      <c r="C13" s="10" t="s">
        <v>106</v>
      </c>
      <c r="D13" s="10" t="s">
        <v>107</v>
      </c>
      <c r="E13" s="10" t="s">
        <v>108</v>
      </c>
      <c r="F13" s="10" t="s">
        <v>109</v>
      </c>
      <c r="G13" s="10" t="s">
        <v>110</v>
      </c>
      <c r="H13" s="10" t="s">
        <v>111</v>
      </c>
      <c r="I13" s="10" t="s">
        <v>112</v>
      </c>
      <c r="J13" s="10" t="s">
        <v>113</v>
      </c>
      <c r="K13" s="10" t="s">
        <v>114</v>
      </c>
      <c r="L13" s="10" t="s">
        <v>115</v>
      </c>
      <c r="M13" s="10" t="s">
        <v>116</v>
      </c>
      <c r="N13" s="10" t="s">
        <v>117</v>
      </c>
    </row>
    <row r="14" s="1" customFormat="1" spans="1:14">
      <c r="A14" s="4" t="s">
        <v>76</v>
      </c>
      <c r="B14" s="10" t="s">
        <v>118</v>
      </c>
      <c r="C14" s="10" t="s">
        <v>119</v>
      </c>
      <c r="D14" s="10" t="s">
        <v>120</v>
      </c>
      <c r="E14" s="10" t="s">
        <v>121</v>
      </c>
      <c r="F14" s="10" t="s">
        <v>122</v>
      </c>
      <c r="G14" s="10" t="s">
        <v>123</v>
      </c>
      <c r="H14" s="10" t="s">
        <v>124</v>
      </c>
      <c r="I14" s="10" t="s">
        <v>125</v>
      </c>
      <c r="J14" s="10" t="s">
        <v>126</v>
      </c>
      <c r="K14" s="10" t="s">
        <v>127</v>
      </c>
      <c r="L14" s="10" t="s">
        <v>128</v>
      </c>
      <c r="M14" s="10" t="s">
        <v>129</v>
      </c>
      <c r="N14" s="10" t="s">
        <v>130</v>
      </c>
    </row>
    <row r="15" s="1" customFormat="1" spans="1:14">
      <c r="A15" s="4" t="s">
        <v>77</v>
      </c>
      <c r="B15" s="11" t="s">
        <v>131</v>
      </c>
      <c r="C15" s="11" t="s">
        <v>132</v>
      </c>
      <c r="D15" s="11" t="s">
        <v>133</v>
      </c>
      <c r="E15" s="11" t="s">
        <v>134</v>
      </c>
      <c r="F15" s="10" t="s">
        <v>135</v>
      </c>
      <c r="G15" s="10" t="s">
        <v>136</v>
      </c>
      <c r="H15" s="11" t="s">
        <v>137</v>
      </c>
      <c r="I15" s="10" t="s">
        <v>138</v>
      </c>
      <c r="J15" s="10" t="s">
        <v>139</v>
      </c>
      <c r="K15" s="11" t="s">
        <v>140</v>
      </c>
      <c r="L15" s="10" t="s">
        <v>141</v>
      </c>
      <c r="M15" s="10" t="s">
        <v>142</v>
      </c>
      <c r="N15" s="10" t="s">
        <v>143</v>
      </c>
    </row>
    <row r="16" s="1" customFormat="1" spans="1:14">
      <c r="A16" s="7" t="s">
        <v>78</v>
      </c>
      <c r="B16" s="5">
        <v>483.4</v>
      </c>
      <c r="C16" s="5">
        <v>685.2</v>
      </c>
      <c r="D16" s="5">
        <v>901.6</v>
      </c>
      <c r="E16" s="5">
        <v>562.8</v>
      </c>
      <c r="F16" s="6">
        <v>752.2</v>
      </c>
      <c r="G16" s="6">
        <f>AVERAGE(G19:G23)</f>
        <v>1050</v>
      </c>
      <c r="H16" s="5">
        <f>AVERAGE(H19:H23)</f>
        <v>605.2</v>
      </c>
      <c r="I16" s="8">
        <v>782.6</v>
      </c>
      <c r="J16" s="12">
        <v>1039</v>
      </c>
      <c r="K16" s="13">
        <v>918.8</v>
      </c>
      <c r="L16" s="9">
        <v>981.6</v>
      </c>
      <c r="M16" s="9">
        <v>1150.6</v>
      </c>
      <c r="N16" s="9">
        <f>AVERAGE(B16:M16)</f>
        <v>826.083333333333</v>
      </c>
    </row>
    <row r="17" s="1" customFormat="1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="1" customFormat="1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0" t="s">
        <v>73</v>
      </c>
    </row>
    <row r="19" s="1" customFormat="1" spans="1:14">
      <c r="A19" s="2" t="s">
        <v>144</v>
      </c>
      <c r="B19" s="5">
        <v>474</v>
      </c>
      <c r="C19" s="5">
        <v>823</v>
      </c>
      <c r="D19" s="5">
        <v>945</v>
      </c>
      <c r="E19" s="5">
        <v>590</v>
      </c>
      <c r="F19" s="5">
        <v>767</v>
      </c>
      <c r="G19" s="5">
        <v>1101</v>
      </c>
      <c r="H19" s="14">
        <v>626</v>
      </c>
      <c r="I19" s="15">
        <v>783</v>
      </c>
      <c r="J19" s="16">
        <v>1028</v>
      </c>
      <c r="K19" s="15">
        <v>930</v>
      </c>
      <c r="L19" s="15">
        <v>956</v>
      </c>
      <c r="M19" s="15">
        <v>1182</v>
      </c>
      <c r="N19" s="15">
        <f>AVERAGE(B19:M19)</f>
        <v>850.416666666667</v>
      </c>
    </row>
    <row r="20" s="1" customFormat="1" spans="1:14">
      <c r="A20" s="2" t="s">
        <v>145</v>
      </c>
      <c r="B20" s="5">
        <v>501</v>
      </c>
      <c r="C20" s="5">
        <v>724</v>
      </c>
      <c r="D20" s="5">
        <v>1052</v>
      </c>
      <c r="E20" s="5">
        <v>573</v>
      </c>
      <c r="F20" s="5">
        <v>744</v>
      </c>
      <c r="G20" s="5">
        <v>1081</v>
      </c>
      <c r="H20" s="14">
        <v>636</v>
      </c>
      <c r="I20" s="15">
        <v>768</v>
      </c>
      <c r="J20" s="15">
        <v>998</v>
      </c>
      <c r="K20" s="15">
        <v>941</v>
      </c>
      <c r="L20" s="15">
        <v>1046</v>
      </c>
      <c r="M20" s="15">
        <v>1095</v>
      </c>
      <c r="N20" s="15">
        <f>AVERAGE(B20:M20)</f>
        <v>846.583333333333</v>
      </c>
    </row>
    <row r="21" s="1" customFormat="1" spans="1:14">
      <c r="A21" s="2" t="s">
        <v>146</v>
      </c>
      <c r="B21" s="5">
        <v>438</v>
      </c>
      <c r="C21" s="5">
        <v>597</v>
      </c>
      <c r="D21" s="5">
        <v>789</v>
      </c>
      <c r="E21" s="5">
        <v>503</v>
      </c>
      <c r="F21" s="5">
        <v>776</v>
      </c>
      <c r="G21" s="5">
        <v>973</v>
      </c>
      <c r="H21" s="14">
        <v>603</v>
      </c>
      <c r="I21" s="15">
        <v>822</v>
      </c>
      <c r="J21" s="15">
        <v>997</v>
      </c>
      <c r="K21" s="15">
        <v>959</v>
      </c>
      <c r="L21" s="15">
        <v>964</v>
      </c>
      <c r="M21" s="15">
        <v>1112</v>
      </c>
      <c r="N21" s="15">
        <f>AVERAGE(B21:M21)</f>
        <v>794.416666666667</v>
      </c>
    </row>
    <row r="22" s="1" customFormat="1" spans="1:14">
      <c r="A22" s="2" t="s">
        <v>147</v>
      </c>
      <c r="B22" s="5">
        <v>492</v>
      </c>
      <c r="C22" s="5">
        <v>589</v>
      </c>
      <c r="D22" s="5">
        <v>915</v>
      </c>
      <c r="E22" s="5">
        <v>526</v>
      </c>
      <c r="F22" s="5">
        <v>807</v>
      </c>
      <c r="G22" s="5">
        <v>1051</v>
      </c>
      <c r="H22" s="14">
        <v>552</v>
      </c>
      <c r="I22" s="15">
        <v>775</v>
      </c>
      <c r="J22" s="16">
        <v>1034</v>
      </c>
      <c r="K22" s="15">
        <v>883</v>
      </c>
      <c r="L22" s="15">
        <v>1018</v>
      </c>
      <c r="M22" s="15">
        <v>1132</v>
      </c>
      <c r="N22" s="15">
        <f>AVERAGE(B22:M22)</f>
        <v>814.5</v>
      </c>
    </row>
    <row r="23" s="1" customFormat="1" spans="1:14">
      <c r="A23" s="2" t="s">
        <v>148</v>
      </c>
      <c r="B23" s="5">
        <v>512</v>
      </c>
      <c r="C23" s="5">
        <v>693</v>
      </c>
      <c r="D23" s="5">
        <v>807</v>
      </c>
      <c r="E23" s="5">
        <v>622</v>
      </c>
      <c r="F23" s="5">
        <v>667</v>
      </c>
      <c r="G23" s="5">
        <v>1044</v>
      </c>
      <c r="H23" s="14">
        <v>609</v>
      </c>
      <c r="I23" s="17">
        <v>765</v>
      </c>
      <c r="J23" s="17">
        <v>1138</v>
      </c>
      <c r="K23" s="17">
        <v>881</v>
      </c>
      <c r="L23" s="17">
        <v>924</v>
      </c>
      <c r="M23" s="17">
        <v>1232</v>
      </c>
      <c r="N23" s="15">
        <f>AVERAGE(B23:M23)</f>
        <v>824.5</v>
      </c>
    </row>
    <row r="24" s="1" customFormat="1" spans="1:14">
      <c r="A24" s="10" t="s">
        <v>73</v>
      </c>
      <c r="B24" s="5">
        <f t="shared" ref="B24:H24" si="2">AVERAGE(B19:B23)</f>
        <v>483.4</v>
      </c>
      <c r="C24" s="5">
        <f t="shared" si="2"/>
        <v>685.2</v>
      </c>
      <c r="D24" s="5">
        <f t="shared" si="2"/>
        <v>901.6</v>
      </c>
      <c r="E24" s="5">
        <f t="shared" si="2"/>
        <v>562.8</v>
      </c>
      <c r="F24" s="5">
        <f t="shared" si="2"/>
        <v>752.2</v>
      </c>
      <c r="G24" s="5">
        <f t="shared" si="2"/>
        <v>1050</v>
      </c>
      <c r="H24" s="5">
        <f t="shared" si="2"/>
        <v>605.2</v>
      </c>
      <c r="I24" s="15">
        <v>782.6</v>
      </c>
      <c r="J24" s="16">
        <f>AVERAGE(J19:J23)</f>
        <v>1039</v>
      </c>
      <c r="K24" s="15">
        <f>AVERAGE(K19:K23)</f>
        <v>918.8</v>
      </c>
      <c r="L24" s="15">
        <f>AVERAGE(L19:L23)</f>
        <v>981.6</v>
      </c>
      <c r="M24" s="15">
        <f>AVERAGE(M19:M23)</f>
        <v>1150.6</v>
      </c>
      <c r="N24" s="15">
        <f>AVERAGE(B24:M24)</f>
        <v>826.083333333333</v>
      </c>
    </row>
    <row r="25" s="1" customFormat="1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="1" customFormat="1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="1" customFormat="1" spans="1:14">
      <c r="A27" s="2"/>
    </row>
    <row r="28" s="1" customFormat="1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="1" customFormat="1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="1" customFormat="1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="1" customFormat="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="1" customForma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="1" customForma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="1" customFormat="1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="1" customFormat="1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N1"/>
    <mergeCell ref="A10:N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RL</vt:lpstr>
      <vt:lpstr>Ablation</vt:lpstr>
      <vt:lpstr>VS DABC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俊鑫 黄</cp:lastModifiedBy>
  <dcterms:created xsi:type="dcterms:W3CDTF">2026-07-09T11:39:00Z</dcterms:created>
  <dcterms:modified xsi:type="dcterms:W3CDTF">2026-08-08T12:20:29Z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8C5F5FE87E144F86BAB8131F0978B661_12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